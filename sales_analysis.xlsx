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
    </mc:Choice>
  </mc:AlternateContent>
  <xr:revisionPtr revIDLastSave="0" documentId="13_ncr:1_{FA2A0C96-03C6-4B9A-976F-73FD94DC8CE2}" xr6:coauthVersionLast="47" xr6:coauthVersionMax="47" xr10:uidLastSave="{00000000-0000-0000-0000-000000000000}"/>
  <bookViews>
    <workbookView xWindow="-108" yWindow="-108" windowWidth="23256" windowHeight="12576" activeTab="1" xr2:uid="{00000000-000D-0000-FFFF-FFFF00000000}"/>
  </bookViews>
  <sheets>
    <sheet name="Pivot_Analysis" sheetId="11" r:id="rId1"/>
    <sheet name="dashboard" sheetId="4" r:id="rId2"/>
    <sheet name="analysis" sheetId="9" r:id="rId3"/>
    <sheet name="Raw_Data" sheetId="1" r:id="rId4"/>
  </sheets>
  <definedNames>
    <definedName name="_xlcn.WorksheetConnection_بيانات_مبيعات_عربية_1000_صف.xlsxTable11" hidden="1">SalesTable[]</definedName>
    <definedName name="Slicer_الفئة">#N/A</definedName>
    <definedName name="Slicer_المحافظة">#N/A</definedName>
    <definedName name="Slicer_طريقة_الدفع">#N/A</definedName>
  </definedNames>
  <calcPr calcId="191029"/>
  <pivotCaches>
    <pivotCache cacheId="42" r:id="rId5"/>
    <pivotCache cacheId="26" r:id="rId6"/>
    <pivotCache cacheId="3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بيانات_مبيعات_عربية_1000_صف.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4" l="1" a="1"/>
  <c r="D2" i="4" s="1"/>
  <c r="C2" i="4" a="1"/>
  <c r="C2" i="4" s="1"/>
  <c r="B2" i="4"/>
  <c r="A2" i="4"/>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F54431-365C-45D7-886A-25D864589A1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4701BD1-ACF6-4671-AB8F-E0DAA950EAF9}" name="WorksheetConnection_بيانات_مبيعات_عربية_1000_صف.xlsx!Table1" type="102" refreshedVersion="7" minRefreshableVersion="5">
    <extLst>
      <ext xmlns:x15="http://schemas.microsoft.com/office/spreadsheetml/2010/11/main" uri="{DE250136-89BD-433C-8126-D09CA5730AF9}">
        <x15:connection id="Table1" autoDelete="1">
          <x15:rangePr sourceName="_xlcn.WorksheetConnection_بيانات_مبيعات_عربية_1000_صف.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4">
    <s v="ThisWorkbookDataModel"/>
    <s v="{[Table1].[المدينة].[All]}"/>
    <s v="{[Table1].[المحافظة].[All]}"/>
    <s v="{[Table1].[حالة الطلب].&amp;[مكتمل]}"/>
  </metadataStrings>
  <mdxMetadata count="3">
    <mdx n="0" f="s">
      <ms ns="1" c="0"/>
    </mdx>
    <mdx n="0" f="s">
      <ms ns="2" c="0"/>
    </mdx>
    <mdx n="0" f="s">
      <ms ns="3" c="0"/>
    </mdx>
  </mdxMetadata>
  <futureMetadata name="XLDAPR" count="1">
    <bk>
      <extLst>
        <ext uri="{bdbb8cdc-fa1e-496e-a857-3c3f30c029c3}">
          <xda:dynamicArrayProperties fDynamic="1" fCollapsed="0"/>
        </ext>
      </extLst>
    </bk>
  </futureMetadata>
  <cellMetadata count="1">
    <bk>
      <rc t="2" v="0"/>
    </bk>
  </cellMetadata>
  <valueMetadata count="3">
    <bk>
      <rc t="1" v="0"/>
    </bk>
    <bk>
      <rc t="1" v="1"/>
    </bk>
    <bk>
      <rc t="1" v="2"/>
    </bk>
  </valueMetadata>
</metadata>
</file>

<file path=xl/sharedStrings.xml><?xml version="1.0" encoding="utf-8"?>
<sst xmlns="http://schemas.openxmlformats.org/spreadsheetml/2006/main" count="8101" uniqueCount="385">
  <si>
    <t>رقم العملية</t>
  </si>
  <si>
    <t>اسم الموظف</t>
  </si>
  <si>
    <t>التاريخ</t>
  </si>
  <si>
    <t>المنتج</t>
  </si>
  <si>
    <t>الفئة</t>
  </si>
  <si>
    <t>المحافظة</t>
  </si>
  <si>
    <t>المدينة</t>
  </si>
  <si>
    <t>الكمية</t>
  </si>
  <si>
    <t>سعر الوحدة</t>
  </si>
  <si>
    <t>الخصم</t>
  </si>
  <si>
    <t>طريقة الدفع</t>
  </si>
  <si>
    <t>حالة الطلب</t>
  </si>
  <si>
    <t>اسم العميل</t>
  </si>
  <si>
    <t>مؤمن</t>
  </si>
  <si>
    <t>فلاشة 128GB</t>
  </si>
  <si>
    <t>تخزين</t>
  </si>
  <si>
    <t>الجيزة</t>
  </si>
  <si>
    <t>الدقي</t>
  </si>
  <si>
    <t>كاش</t>
  </si>
  <si>
    <t>مكتمل</t>
  </si>
  <si>
    <t>عميل 217</t>
  </si>
  <si>
    <t>مصطفى</t>
  </si>
  <si>
    <t>لابتوب HP</t>
  </si>
  <si>
    <t>أجهزة كمبيوتر</t>
  </si>
  <si>
    <t>القاهرة</t>
  </si>
  <si>
    <t>مدينة نصر</t>
  </si>
  <si>
    <t>قيد الشحن</t>
  </si>
  <si>
    <t>عميل 280</t>
  </si>
  <si>
    <t>أحمد</t>
  </si>
  <si>
    <t>شاشة Samsung</t>
  </si>
  <si>
    <t>شاشات</t>
  </si>
  <si>
    <t>المنوفية</t>
  </si>
  <si>
    <t>منوف</t>
  </si>
  <si>
    <t>محفظة إلكترونية</t>
  </si>
  <si>
    <t>ملغي</t>
  </si>
  <si>
    <t>عميل 143</t>
  </si>
  <si>
    <t>علي</t>
  </si>
  <si>
    <t>لابتوب Dell</t>
  </si>
  <si>
    <t>تحويل بنكي</t>
  </si>
  <si>
    <t>عميل 136</t>
  </si>
  <si>
    <t>كابل شبكة</t>
  </si>
  <si>
    <t>شبكات</t>
  </si>
  <si>
    <t>التجمع</t>
  </si>
  <si>
    <t>عميل 296</t>
  </si>
  <si>
    <t>محمد</t>
  </si>
  <si>
    <t>كيبورد Logitech</t>
  </si>
  <si>
    <t>إكسسوارات</t>
  </si>
  <si>
    <t>مرتجع</t>
  </si>
  <si>
    <t>شاشة LG</t>
  </si>
  <si>
    <t>الشرقية</t>
  </si>
  <si>
    <t>الزقازيق</t>
  </si>
  <si>
    <t>عميل 88</t>
  </si>
  <si>
    <t>عمر</t>
  </si>
  <si>
    <t>هارد SSD 512GB</t>
  </si>
  <si>
    <t>شبين الكوم</t>
  </si>
  <si>
    <t>فيزا</t>
  </si>
  <si>
    <t>عميل 29</t>
  </si>
  <si>
    <t>مصر الجديدة</t>
  </si>
  <si>
    <t>عميل 256</t>
  </si>
  <si>
    <t>البحيرة</t>
  </si>
  <si>
    <t>دمنهور</t>
  </si>
  <si>
    <t>عميل 299</t>
  </si>
  <si>
    <t>كريم</t>
  </si>
  <si>
    <t>عميل 79</t>
  </si>
  <si>
    <t>الإسكندرية</t>
  </si>
  <si>
    <t>سيدي جابر</t>
  </si>
  <si>
    <t>عميل 284</t>
  </si>
  <si>
    <t>محمود</t>
  </si>
  <si>
    <t>كاميرا ويب</t>
  </si>
  <si>
    <t>عميل 81</t>
  </si>
  <si>
    <t>سماعة Headset</t>
  </si>
  <si>
    <t>سموحة</t>
  </si>
  <si>
    <t>عميل 158</t>
  </si>
  <si>
    <t>المعادي</t>
  </si>
  <si>
    <t>عميل 66</t>
  </si>
  <si>
    <t>رشيد</t>
  </si>
  <si>
    <t>عميل 277</t>
  </si>
  <si>
    <t>السادات</t>
  </si>
  <si>
    <t>عميل 127</t>
  </si>
  <si>
    <t>الهرم</t>
  </si>
  <si>
    <t>عميل 37</t>
  </si>
  <si>
    <t>راوتر TP-Link</t>
  </si>
  <si>
    <t>عميل 249</t>
  </si>
  <si>
    <t>عميل 221</t>
  </si>
  <si>
    <t>القليوبية</t>
  </si>
  <si>
    <t>شبرا الخيمة</t>
  </si>
  <si>
    <t>عميل 207</t>
  </si>
  <si>
    <t>الدقهلية</t>
  </si>
  <si>
    <t>ميت غمر</t>
  </si>
  <si>
    <t>عميل 206</t>
  </si>
  <si>
    <t>طابعة HP</t>
  </si>
  <si>
    <t>طابعات</t>
  </si>
  <si>
    <t>عميل 30</t>
  </si>
  <si>
    <t>عميل 36</t>
  </si>
  <si>
    <t>حسن</t>
  </si>
  <si>
    <t>هارد SSD 1TB</t>
  </si>
  <si>
    <t>6 أكتوبر</t>
  </si>
  <si>
    <t>عميل 215</t>
  </si>
  <si>
    <t>العاشر من رمضان</t>
  </si>
  <si>
    <t>عميل 68</t>
  </si>
  <si>
    <t>عميل 276</t>
  </si>
  <si>
    <t>المنصورة</t>
  </si>
  <si>
    <t>عميل 225</t>
  </si>
  <si>
    <t>طلخا</t>
  </si>
  <si>
    <t>لابتوب Lenovo</t>
  </si>
  <si>
    <t>كفر الدوار</t>
  </si>
  <si>
    <t>عميل 171</t>
  </si>
  <si>
    <t>العصافرة</t>
  </si>
  <si>
    <t>عميل 58</t>
  </si>
  <si>
    <t>عميل 22</t>
  </si>
  <si>
    <t>ماوس Logitech</t>
  </si>
  <si>
    <t>عميل 287</t>
  </si>
  <si>
    <t>يوسف</t>
  </si>
  <si>
    <t>قليوب</t>
  </si>
  <si>
    <t>عميل 92</t>
  </si>
  <si>
    <t>عميل 20</t>
  </si>
  <si>
    <t>عميل 13</t>
  </si>
  <si>
    <t>عميل 275</t>
  </si>
  <si>
    <t>عميل 223</t>
  </si>
  <si>
    <t>عميل 23</t>
  </si>
  <si>
    <t>بنها</t>
  </si>
  <si>
    <t>عميل 170</t>
  </si>
  <si>
    <t>بلبيس</t>
  </si>
  <si>
    <t>عميل 168</t>
  </si>
  <si>
    <t>عميل 292</t>
  </si>
  <si>
    <t>عميل 239</t>
  </si>
  <si>
    <t>عميل 264</t>
  </si>
  <si>
    <t>عميل 254</t>
  </si>
  <si>
    <t>عميل 26</t>
  </si>
  <si>
    <t>عميل 259</t>
  </si>
  <si>
    <t>عميل 123</t>
  </si>
  <si>
    <t>عميل 71</t>
  </si>
  <si>
    <t>عميل 245</t>
  </si>
  <si>
    <t>عميل 113</t>
  </si>
  <si>
    <t>عميل 240</t>
  </si>
  <si>
    <t>عميل 220</t>
  </si>
  <si>
    <t>عميل 180</t>
  </si>
  <si>
    <t>عميل 65</t>
  </si>
  <si>
    <t>عميل 84</t>
  </si>
  <si>
    <t>عميل 125</t>
  </si>
  <si>
    <t>عميل 190</t>
  </si>
  <si>
    <t>عميل 166</t>
  </si>
  <si>
    <t>عميل 15</t>
  </si>
  <si>
    <t>عميل 142</t>
  </si>
  <si>
    <t>عميل 252</t>
  </si>
  <si>
    <t>عميل 298</t>
  </si>
  <si>
    <t>عميل 233</t>
  </si>
  <si>
    <t>عميل 99</t>
  </si>
  <si>
    <t>عميل 152</t>
  </si>
  <si>
    <t>عميل 28</t>
  </si>
  <si>
    <t>عميل 241</t>
  </si>
  <si>
    <t>عميل 61</t>
  </si>
  <si>
    <t>عميل 227</t>
  </si>
  <si>
    <t>عميل 109</t>
  </si>
  <si>
    <t>عميل 210</t>
  </si>
  <si>
    <t>عميل 77</t>
  </si>
  <si>
    <t>عميل 64</t>
  </si>
  <si>
    <t>عميل 42</t>
  </si>
  <si>
    <t>عميل 295</t>
  </si>
  <si>
    <t>عميل 93</t>
  </si>
  <si>
    <t>عميل 165</t>
  </si>
  <si>
    <t>عميل 212</t>
  </si>
  <si>
    <t>عميل 105</t>
  </si>
  <si>
    <t>عميل 82</t>
  </si>
  <si>
    <t>عميل 283</t>
  </si>
  <si>
    <t>عميل 175</t>
  </si>
  <si>
    <t>عميل 229</t>
  </si>
  <si>
    <t>عميل 97</t>
  </si>
  <si>
    <t>عميل 196</t>
  </si>
  <si>
    <t>عميل 226</t>
  </si>
  <si>
    <t>عميل 174</t>
  </si>
  <si>
    <t>عميل 278</t>
  </si>
  <si>
    <t>عميل 228</t>
  </si>
  <si>
    <t>عميل 131</t>
  </si>
  <si>
    <t>عميل 177</t>
  </si>
  <si>
    <t>عميل 197</t>
  </si>
  <si>
    <t>عميل 12</t>
  </si>
  <si>
    <t>عميل 118</t>
  </si>
  <si>
    <t>عميل 21</t>
  </si>
  <si>
    <t>عميل 213</t>
  </si>
  <si>
    <t>عميل 132</t>
  </si>
  <si>
    <t>عميل 204</t>
  </si>
  <si>
    <t>عميل 189</t>
  </si>
  <si>
    <t>عميل 51</t>
  </si>
  <si>
    <t>ميامي</t>
  </si>
  <si>
    <t>عميل 169</t>
  </si>
  <si>
    <t>عميل 57</t>
  </si>
  <si>
    <t>عميل 90</t>
  </si>
  <si>
    <t>عميل 186</t>
  </si>
  <si>
    <t>العجوزة</t>
  </si>
  <si>
    <t>عميل 16</t>
  </si>
  <si>
    <t>عميل 272</t>
  </si>
  <si>
    <t>عميل 219</t>
  </si>
  <si>
    <t>عميل 48</t>
  </si>
  <si>
    <t>عميل 211</t>
  </si>
  <si>
    <t>عميل 290</t>
  </si>
  <si>
    <t>عميل 80</t>
  </si>
  <si>
    <t>عميل 140</t>
  </si>
  <si>
    <t>عميل 24</t>
  </si>
  <si>
    <t>عميل 273</t>
  </si>
  <si>
    <t>عميل 224</t>
  </si>
  <si>
    <t>عميل 149</t>
  </si>
  <si>
    <t>عميل 159</t>
  </si>
  <si>
    <t>عميل 179</t>
  </si>
  <si>
    <t>عميل 39</t>
  </si>
  <si>
    <t>عميل 78</t>
  </si>
  <si>
    <t>عميل 260</t>
  </si>
  <si>
    <t>عميل 47</t>
  </si>
  <si>
    <t>عميل 244</t>
  </si>
  <si>
    <t>عميل 145</t>
  </si>
  <si>
    <t>عميل 286</t>
  </si>
  <si>
    <t>عميل 40</t>
  </si>
  <si>
    <t>عميل 146</t>
  </si>
  <si>
    <t>عميل 293</t>
  </si>
  <si>
    <t>عميل 43</t>
  </si>
  <si>
    <t>عميل 231</t>
  </si>
  <si>
    <t>عميل 198</t>
  </si>
  <si>
    <t>عميل 10</t>
  </si>
  <si>
    <t>عميل 148</t>
  </si>
  <si>
    <t>عميل 150</t>
  </si>
  <si>
    <t>عميل 35</t>
  </si>
  <si>
    <t>عميل 183</t>
  </si>
  <si>
    <t>عميل 70</t>
  </si>
  <si>
    <t>عميل 41</t>
  </si>
  <si>
    <t>عميل 141</t>
  </si>
  <si>
    <t>عميل 74</t>
  </si>
  <si>
    <t>عميل 266</t>
  </si>
  <si>
    <t>عميل 103</t>
  </si>
  <si>
    <t>عميل 34</t>
  </si>
  <si>
    <t>عميل 85</t>
  </si>
  <si>
    <t>عميل 101</t>
  </si>
  <si>
    <t>عميل 153</t>
  </si>
  <si>
    <t>عميل 73</t>
  </si>
  <si>
    <t>عميل 255</t>
  </si>
  <si>
    <t>عميل 69</t>
  </si>
  <si>
    <t>عميل 261</t>
  </si>
  <si>
    <t>عميل 89</t>
  </si>
  <si>
    <t>عميل 246</t>
  </si>
  <si>
    <t>عميل 75</t>
  </si>
  <si>
    <t>عميل 110</t>
  </si>
  <si>
    <t>عميل 52</t>
  </si>
  <si>
    <t>عميل 8</t>
  </si>
  <si>
    <t>عميل 4</t>
  </si>
  <si>
    <t>عميل 185</t>
  </si>
  <si>
    <t>عميل 294</t>
  </si>
  <si>
    <t>عميل 147</t>
  </si>
  <si>
    <t>عميل 2</t>
  </si>
  <si>
    <t>عميل 124</t>
  </si>
  <si>
    <t>عميل 214</t>
  </si>
  <si>
    <t>عميل 154</t>
  </si>
  <si>
    <t>عميل 138</t>
  </si>
  <si>
    <t>عميل 134</t>
  </si>
  <si>
    <t>عميل 161</t>
  </si>
  <si>
    <t>عميل 251</t>
  </si>
  <si>
    <t>عميل 95</t>
  </si>
  <si>
    <t>عميل 119</t>
  </si>
  <si>
    <t>عميل 250</t>
  </si>
  <si>
    <t>عميل 258</t>
  </si>
  <si>
    <t>عميل 270</t>
  </si>
  <si>
    <t>عميل 116</t>
  </si>
  <si>
    <t>عميل 5</t>
  </si>
  <si>
    <t>عميل 162</t>
  </si>
  <si>
    <t>عميل 289</t>
  </si>
  <si>
    <t>عميل 96</t>
  </si>
  <si>
    <t>عميل 53</t>
  </si>
  <si>
    <t>عميل 7</t>
  </si>
  <si>
    <t>عميل 87</t>
  </si>
  <si>
    <t>عميل 235</t>
  </si>
  <si>
    <t>عميل 193</t>
  </si>
  <si>
    <t>عميل 237</t>
  </si>
  <si>
    <t>عميل 156</t>
  </si>
  <si>
    <t>عميل 192</t>
  </si>
  <si>
    <t>عميل 248</t>
  </si>
  <si>
    <t>عميل 234</t>
  </si>
  <si>
    <t>عميل 164</t>
  </si>
  <si>
    <t>عميل 200</t>
  </si>
  <si>
    <t>عميل 188</t>
  </si>
  <si>
    <t>عميل 201</t>
  </si>
  <si>
    <t>عميل 72</t>
  </si>
  <si>
    <t>عميل 232</t>
  </si>
  <si>
    <t>عميل 176</t>
  </si>
  <si>
    <t>عميل 120</t>
  </si>
  <si>
    <t>عميل 45</t>
  </si>
  <si>
    <t>عميل 155</t>
  </si>
  <si>
    <t>عميل 253</t>
  </si>
  <si>
    <t>عميل 54</t>
  </si>
  <si>
    <t>عميل 104</t>
  </si>
  <si>
    <t>عميل 62</t>
  </si>
  <si>
    <t>عميل 128</t>
  </si>
  <si>
    <t>عميل 208</t>
  </si>
  <si>
    <t>عميل 63</t>
  </si>
  <si>
    <t>عميل 182</t>
  </si>
  <si>
    <t>عميل 199</t>
  </si>
  <si>
    <t>عميل 242</t>
  </si>
  <si>
    <t>عميل 274</t>
  </si>
  <si>
    <t>عميل 163</t>
  </si>
  <si>
    <t>عميل 11</t>
  </si>
  <si>
    <t>عميل 94</t>
  </si>
  <si>
    <t>عميل 1</t>
  </si>
  <si>
    <t>عميل 18</t>
  </si>
  <si>
    <t>عميل 83</t>
  </si>
  <si>
    <t>عميل 135</t>
  </si>
  <si>
    <t>عميل 117</t>
  </si>
  <si>
    <t>عميل 230</t>
  </si>
  <si>
    <t>عميل 191</t>
  </si>
  <si>
    <t>عميل 160</t>
  </si>
  <si>
    <t>عميل 243</t>
  </si>
  <si>
    <t>عميل 300</t>
  </si>
  <si>
    <t>عميل 56</t>
  </si>
  <si>
    <t>عميل 114</t>
  </si>
  <si>
    <t>عميل 50</t>
  </si>
  <si>
    <t>عميل 25</t>
  </si>
  <si>
    <t>عميل 267</t>
  </si>
  <si>
    <t>عميل 55</t>
  </si>
  <si>
    <t>عميل 67</t>
  </si>
  <si>
    <t>عميل 137</t>
  </si>
  <si>
    <t>عميل 262</t>
  </si>
  <si>
    <t>عميل 100</t>
  </si>
  <si>
    <t>عميل 178</t>
  </si>
  <si>
    <t>عميل 59</t>
  </si>
  <si>
    <t>عميل 108</t>
  </si>
  <si>
    <t>عميل 129</t>
  </si>
  <si>
    <t>عميل 38</t>
  </si>
  <si>
    <t>عميل 203</t>
  </si>
  <si>
    <t>عميل 194</t>
  </si>
  <si>
    <t>عميل 44</t>
  </si>
  <si>
    <t>عميل 247</t>
  </si>
  <si>
    <t>عميل 3</t>
  </si>
  <si>
    <t>عميل 282</t>
  </si>
  <si>
    <t>عميل 6</t>
  </si>
  <si>
    <t>عميل 19</t>
  </si>
  <si>
    <t>عميل 60</t>
  </si>
  <si>
    <t>عميل 265</t>
  </si>
  <si>
    <t>عميل 98</t>
  </si>
  <si>
    <t>عميل 202</t>
  </si>
  <si>
    <t>عميل 281</t>
  </si>
  <si>
    <t>عميل 218</t>
  </si>
  <si>
    <t>عميل 111</t>
  </si>
  <si>
    <t>عميل 238</t>
  </si>
  <si>
    <t>عميل 139</t>
  </si>
  <si>
    <t>عميل 269</t>
  </si>
  <si>
    <t>عميل 279</t>
  </si>
  <si>
    <t>عميل 167</t>
  </si>
  <si>
    <t>عميل 222</t>
  </si>
  <si>
    <t>عميل 157</t>
  </si>
  <si>
    <t>عميل 31</t>
  </si>
  <si>
    <t>عميل 195</t>
  </si>
  <si>
    <t>عميل 257</t>
  </si>
  <si>
    <t>عميل 291</t>
  </si>
  <si>
    <t>عميل 285</t>
  </si>
  <si>
    <t>عميل 144</t>
  </si>
  <si>
    <t>عميل 106</t>
  </si>
  <si>
    <t>عميل 151</t>
  </si>
  <si>
    <t>عميل 107</t>
  </si>
  <si>
    <t>عميل 121</t>
  </si>
  <si>
    <t>عميل 236</t>
  </si>
  <si>
    <t>عميل 288</t>
  </si>
  <si>
    <t>عميل 216</t>
  </si>
  <si>
    <t>عميل 297</t>
  </si>
  <si>
    <t>عميل 76</t>
  </si>
  <si>
    <t>عميل 17</t>
  </si>
  <si>
    <t>عميل 14</t>
  </si>
  <si>
    <t>عميل 268</t>
  </si>
  <si>
    <t>عميل 133</t>
  </si>
  <si>
    <t>عميل 102</t>
  </si>
  <si>
    <t>عميل 130</t>
  </si>
  <si>
    <t>عميل 9</t>
  </si>
  <si>
    <t>عميل 86</t>
  </si>
  <si>
    <t>عميل 32</t>
  </si>
  <si>
    <t>عميل 126</t>
  </si>
  <si>
    <t>عميل 46</t>
  </si>
  <si>
    <t>عميل 91</t>
  </si>
  <si>
    <t>المجموع</t>
  </si>
  <si>
    <t>Row Labels</t>
  </si>
  <si>
    <t>Grand Total</t>
  </si>
  <si>
    <t>صافي الربح</t>
  </si>
  <si>
    <t>Sum of صافي الربح</t>
  </si>
  <si>
    <t>Sum of المجموع</t>
  </si>
  <si>
    <t>All</t>
  </si>
  <si>
    <t>(All)</t>
  </si>
  <si>
    <t>(Multiple Items)</t>
  </si>
  <si>
    <t>Total Profit</t>
  </si>
  <si>
    <t>Total Sales</t>
  </si>
  <si>
    <t>Top Product</t>
  </si>
  <si>
    <t>Top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</si>
</sst>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NumberFormat="1"/>
    <xf numFmtId="3" fontId="0" fillId="0" borderId="0" xfId="0" applyNumberFormat="1"/>
    <xf numFmtId="0" fontId="0" fillId="0" borderId="0" xfId="0" applyAlignment="1">
      <alignment horizontal="right"/>
    </xf>
  </cellXfs>
  <cellStyles count="1">
    <cellStyle name="Normal" xfId="0" builtinId="0"/>
  </cellStyles>
  <dxfs count="6">
    <dxf>
      <numFmt numFmtId="0" formatCode="General"/>
    </dxf>
    <dxf>
      <numFmt numFmtId="0" formatCode="General"/>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[sales_analysis.xlsx]Pivot_Analysis!PivotTable2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5 Products by Sales</a:t>
            </a:r>
            <a:endParaRPr lang="en-US"/>
          </a:p>
        </c:rich>
      </c:tx>
      <c:layout>
        <c:manualLayout>
          <c:xMode val="edge"/>
          <c:yMode val="edge"/>
          <c:x val="0.34556871164171815"/>
          <c:y val="5.65356172583690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Pivot_Analysis!$F$5</c:f>
              <c:strCache>
                <c:ptCount val="1"/>
                <c:pt idx="0">
                  <c:v>Total</c:v>
                </c:pt>
              </c:strCache>
            </c:strRef>
          </c:tx>
          <c:spPr>
            <a:solidFill>
              <a:schemeClr val="accent1"/>
            </a:solidFill>
            <a:ln>
              <a:noFill/>
            </a:ln>
            <a:effectLst/>
          </c:spPr>
          <c:invertIfNegative val="0"/>
          <c:cat>
            <c:strRef>
              <c:f>Pivot_Analysis!$E$6:$E$11</c:f>
              <c:strCache>
                <c:ptCount val="5"/>
                <c:pt idx="0">
                  <c:v>لابتوب Lenovo</c:v>
                </c:pt>
                <c:pt idx="1">
                  <c:v>لابتوب Dell</c:v>
                </c:pt>
                <c:pt idx="2">
                  <c:v>لابتوب HP</c:v>
                </c:pt>
                <c:pt idx="3">
                  <c:v>شاشة Samsung</c:v>
                </c:pt>
                <c:pt idx="4">
                  <c:v>شاشة LG</c:v>
                </c:pt>
              </c:strCache>
            </c:strRef>
          </c:cat>
          <c:val>
            <c:numRef>
              <c:f>Pivot_Analysis!$F$6:$F$11</c:f>
              <c:numCache>
                <c:formatCode>#,##0</c:formatCode>
                <c:ptCount val="5"/>
                <c:pt idx="0">
                  <c:v>3836000</c:v>
                </c:pt>
                <c:pt idx="1">
                  <c:v>2720000</c:v>
                </c:pt>
                <c:pt idx="2">
                  <c:v>2575000</c:v>
                </c:pt>
                <c:pt idx="3">
                  <c:v>945000</c:v>
                </c:pt>
                <c:pt idx="4">
                  <c:v>810000</c:v>
                </c:pt>
              </c:numCache>
            </c:numRef>
          </c:val>
          <c:extLst>
            <c:ext xmlns:c16="http://schemas.microsoft.com/office/drawing/2014/chart" uri="{C3380CC4-5D6E-409C-BE32-E72D297353CC}">
              <c16:uniqueId val="{00000000-182D-4E21-909C-2298E5196D33}"/>
            </c:ext>
          </c:extLst>
        </c:ser>
        <c:dLbls>
          <c:showLegendKey val="0"/>
          <c:showVal val="0"/>
          <c:showCatName val="0"/>
          <c:showSerName val="0"/>
          <c:showPercent val="0"/>
          <c:showBubbleSize val="0"/>
        </c:dLbls>
        <c:gapWidth val="219"/>
        <c:overlap val="-27"/>
        <c:axId val="554195983"/>
        <c:axId val="1097776847"/>
      </c:barChart>
      <c:catAx>
        <c:axId val="55419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776847"/>
        <c:crosses val="autoZero"/>
        <c:auto val="1"/>
        <c:lblAlgn val="ctr"/>
        <c:lblOffset val="100"/>
        <c:noMultiLvlLbl val="0"/>
      </c:catAx>
      <c:valAx>
        <c:axId val="1097776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195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[sales_analysis.xlsx]Pivot_Analysis!PivotTable1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Governorate</a:t>
            </a:r>
            <a:endParaRPr lang="en-US"/>
          </a:p>
        </c:rich>
      </c:tx>
      <c:layout>
        <c:manualLayout>
          <c:xMode val="edge"/>
          <c:yMode val="edge"/>
          <c:x val="0.28392747548347502"/>
          <c:y val="0.135672514619883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2537182852143"/>
          <c:y val="0.30856044036162145"/>
          <c:w val="0.72312270341207352"/>
          <c:h val="0.36403689122193061"/>
        </c:manualLayout>
      </c:layout>
      <c:barChart>
        <c:barDir val="col"/>
        <c:grouping val="clustered"/>
        <c:varyColors val="0"/>
        <c:ser>
          <c:idx val="0"/>
          <c:order val="0"/>
          <c:tx>
            <c:strRef>
              <c:f>Pivot_Analysis!$I$3</c:f>
              <c:strCache>
                <c:ptCount val="1"/>
                <c:pt idx="0">
                  <c:v>Total</c:v>
                </c:pt>
              </c:strCache>
            </c:strRef>
          </c:tx>
          <c:spPr>
            <a:solidFill>
              <a:schemeClr val="accent1"/>
            </a:solidFill>
            <a:ln>
              <a:noFill/>
            </a:ln>
            <a:effectLst/>
          </c:spPr>
          <c:invertIfNegative val="0"/>
          <c:cat>
            <c:strRef>
              <c:f>Pivot_Analysis!$H$4:$H$12</c:f>
              <c:strCache>
                <c:ptCount val="8"/>
                <c:pt idx="0">
                  <c:v>الإسكندرية</c:v>
                </c:pt>
                <c:pt idx="1">
                  <c:v>البحيرة</c:v>
                </c:pt>
                <c:pt idx="2">
                  <c:v>الجيزة</c:v>
                </c:pt>
                <c:pt idx="3">
                  <c:v>الدقهلية</c:v>
                </c:pt>
                <c:pt idx="4">
                  <c:v>الشرقية</c:v>
                </c:pt>
                <c:pt idx="5">
                  <c:v>القاهرة</c:v>
                </c:pt>
                <c:pt idx="6">
                  <c:v>القليوبية</c:v>
                </c:pt>
                <c:pt idx="7">
                  <c:v>المنوفية</c:v>
                </c:pt>
              </c:strCache>
            </c:strRef>
          </c:cat>
          <c:val>
            <c:numRef>
              <c:f>Pivot_Analysis!$I$4:$I$12</c:f>
              <c:numCache>
                <c:formatCode>General</c:formatCode>
                <c:ptCount val="8"/>
                <c:pt idx="0">
                  <c:v>1040800</c:v>
                </c:pt>
                <c:pt idx="1">
                  <c:v>2317850</c:v>
                </c:pt>
                <c:pt idx="2">
                  <c:v>1772800</c:v>
                </c:pt>
                <c:pt idx="3">
                  <c:v>1307850</c:v>
                </c:pt>
                <c:pt idx="4">
                  <c:v>1756000</c:v>
                </c:pt>
                <c:pt idx="5">
                  <c:v>1212800</c:v>
                </c:pt>
                <c:pt idx="6">
                  <c:v>1626650</c:v>
                </c:pt>
                <c:pt idx="7">
                  <c:v>1714000</c:v>
                </c:pt>
              </c:numCache>
            </c:numRef>
          </c:val>
          <c:extLst>
            <c:ext xmlns:c16="http://schemas.microsoft.com/office/drawing/2014/chart" uri="{C3380CC4-5D6E-409C-BE32-E72D297353CC}">
              <c16:uniqueId val="{00000000-251C-403A-8538-A84E7A54EBB7}"/>
            </c:ext>
          </c:extLst>
        </c:ser>
        <c:dLbls>
          <c:showLegendKey val="0"/>
          <c:showVal val="0"/>
          <c:showCatName val="0"/>
          <c:showSerName val="0"/>
          <c:showPercent val="0"/>
          <c:showBubbleSize val="0"/>
        </c:dLbls>
        <c:gapWidth val="219"/>
        <c:axId val="1097738319"/>
        <c:axId val="1097735407"/>
      </c:barChart>
      <c:catAx>
        <c:axId val="109773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735407"/>
        <c:crosses val="autoZero"/>
        <c:auto val="1"/>
        <c:lblAlgn val="ctr"/>
        <c:lblOffset val="100"/>
        <c:noMultiLvlLbl val="0"/>
      </c:catAx>
      <c:valAx>
        <c:axId val="109773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738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[sales_analysis.xlsx]Pivot_Analysis!PivotTable4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Pivot_Analysis!$L$3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cat>
            <c:strRef>
              <c:f>Pivot_Analysis!$K$4:$K$10</c:f>
              <c:strCache>
                <c:ptCount val="6"/>
                <c:pt idx="0">
                  <c:v>أجهزة كمبيوتر</c:v>
                </c:pt>
                <c:pt idx="1">
                  <c:v>إكسسوارات</c:v>
                </c:pt>
                <c:pt idx="2">
                  <c:v>تخزين</c:v>
                </c:pt>
                <c:pt idx="3">
                  <c:v>شاشات</c:v>
                </c:pt>
                <c:pt idx="4">
                  <c:v>شبكات</c:v>
                </c:pt>
                <c:pt idx="5">
                  <c:v>طابعات</c:v>
                </c:pt>
              </c:strCache>
            </c:strRef>
          </c:cat>
          <c:val>
            <c:numRef>
              <c:f>Pivot_Analysis!$L$4:$L$10</c:f>
              <c:numCache>
                <c:formatCode>General</c:formatCode>
                <c:ptCount val="6"/>
                <c:pt idx="0">
                  <c:v>9131000</c:v>
                </c:pt>
                <c:pt idx="1">
                  <c:v>417050</c:v>
                </c:pt>
                <c:pt idx="2">
                  <c:v>833950</c:v>
                </c:pt>
                <c:pt idx="3">
                  <c:v>1755000</c:v>
                </c:pt>
                <c:pt idx="4">
                  <c:v>163250</c:v>
                </c:pt>
                <c:pt idx="5">
                  <c:v>448500</c:v>
                </c:pt>
              </c:numCache>
            </c:numRef>
          </c:val>
          <c:extLst>
            <c:ext xmlns:c16="http://schemas.microsoft.com/office/drawing/2014/chart" uri="{C3380CC4-5D6E-409C-BE32-E72D297353CC}">
              <c16:uniqueId val="{00000000-A5A6-4BAC-B537-721F1507F8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38100</xdr:rowOff>
    </xdr:from>
    <xdr:to>
      <xdr:col>6</xdr:col>
      <xdr:colOff>106680</xdr:colOff>
      <xdr:row>17</xdr:row>
      <xdr:rowOff>38100</xdr:rowOff>
    </xdr:to>
    <xdr:graphicFrame macro="">
      <xdr:nvGraphicFramePr>
        <xdr:cNvPr id="2" name="Chart 1">
          <a:extLst>
            <a:ext uri="{FF2B5EF4-FFF2-40B4-BE49-F238E27FC236}">
              <a16:creationId xmlns:a16="http://schemas.microsoft.com/office/drawing/2014/main" id="{FAAEBA60-879E-4B49-97DB-9FF4D6A212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114300</xdr:colOff>
      <xdr:row>2</xdr:row>
      <xdr:rowOff>22860</xdr:rowOff>
    </xdr:from>
    <xdr:to>
      <xdr:col>13</xdr:col>
      <xdr:colOff>137160</xdr:colOff>
      <xdr:row>17</xdr:row>
      <xdr:rowOff>22860</xdr:rowOff>
    </xdr:to>
    <xdr:graphicFrame macro="">
      <xdr:nvGraphicFramePr>
        <xdr:cNvPr id="4" name="Chart 2">
          <a:extLst>
            <a:ext uri="{FF2B5EF4-FFF2-40B4-BE49-F238E27FC236}">
              <a16:creationId xmlns:a16="http://schemas.microsoft.com/office/drawing/2014/main" id="{746D09BB-A225-4E1D-8157-67474F2EE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53340</xdr:rowOff>
    </xdr:from>
    <xdr:to>
      <xdr:col>6</xdr:col>
      <xdr:colOff>106680</xdr:colOff>
      <xdr:row>32</xdr:row>
      <xdr:rowOff>53340</xdr:rowOff>
    </xdr:to>
    <xdr:graphicFrame macro="">
      <xdr:nvGraphicFramePr>
        <xdr:cNvPr id="5" name="Chart 4">
          <a:extLst>
            <a:ext uri="{FF2B5EF4-FFF2-40B4-BE49-F238E27FC236}">
              <a16:creationId xmlns:a16="http://schemas.microsoft.com/office/drawing/2014/main" id="{E13EB4EA-B489-432D-92DE-D06AECEE7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91440</xdr:colOff>
      <xdr:row>17</xdr:row>
      <xdr:rowOff>45720</xdr:rowOff>
    </xdr:from>
    <xdr:to>
      <xdr:col>9</xdr:col>
      <xdr:colOff>274320</xdr:colOff>
      <xdr:row>30</xdr:row>
      <xdr:rowOff>135255</xdr:rowOff>
    </xdr:to>
    <mc:AlternateContent xmlns:mc="http://schemas.openxmlformats.org/markup-compatibility/2006">
      <mc:Choice xmlns:a14="http://schemas.microsoft.com/office/drawing/2010/main" Requires="a14">
        <xdr:graphicFrame macro="">
          <xdr:nvGraphicFramePr>
            <xdr:cNvPr id="6" name="المحافظة">
              <a:extLst>
                <a:ext uri="{FF2B5EF4-FFF2-40B4-BE49-F238E27FC236}">
                  <a16:creationId xmlns:a16="http://schemas.microsoft.com/office/drawing/2014/main" id="{6722E747-C010-4EBE-8F1C-E6109B3DE699}"/>
                </a:ext>
              </a:extLst>
            </xdr:cNvPr>
            <xdr:cNvGraphicFramePr/>
          </xdr:nvGraphicFramePr>
          <xdr:xfrm>
            <a:off x="0" y="0"/>
            <a:ext cx="0" cy="0"/>
          </xdr:xfrm>
          <a:graphic>
            <a:graphicData uri="http://schemas.microsoft.com/office/drawing/2010/slicer">
              <sle:slicer xmlns:sle="http://schemas.microsoft.com/office/drawing/2010/slicer" name="المحافظة"/>
            </a:graphicData>
          </a:graphic>
        </xdr:graphicFrame>
      </mc:Choice>
      <mc:Fallback>
        <xdr:sp macro="" textlink="">
          <xdr:nvSpPr>
            <xdr:cNvPr id="0" name=""/>
            <xdr:cNvSpPr>
              <a:spLocks noTextEdit="1"/>
            </xdr:cNvSpPr>
          </xdr:nvSpPr>
          <xdr:spPr>
            <a:xfrm>
              <a:off x="9986821530" y="3122295"/>
              <a:ext cx="1840230" cy="2442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274320</xdr:colOff>
      <xdr:row>17</xdr:row>
      <xdr:rowOff>53340</xdr:rowOff>
    </xdr:from>
    <xdr:to>
      <xdr:col>12</xdr:col>
      <xdr:colOff>266700</xdr:colOff>
      <xdr:row>30</xdr:row>
      <xdr:rowOff>142875</xdr:rowOff>
    </xdr:to>
    <mc:AlternateContent xmlns:mc="http://schemas.openxmlformats.org/markup-compatibility/2006">
      <mc:Choice xmlns:a14="http://schemas.microsoft.com/office/drawing/2010/main" Requires="a14">
        <xdr:graphicFrame macro="">
          <xdr:nvGraphicFramePr>
            <xdr:cNvPr id="7" name="الفئة">
              <a:extLst>
                <a:ext uri="{FF2B5EF4-FFF2-40B4-BE49-F238E27FC236}">
                  <a16:creationId xmlns:a16="http://schemas.microsoft.com/office/drawing/2014/main" id="{905171A5-CDA3-447D-A9AB-D255BCA388AE}"/>
                </a:ext>
              </a:extLst>
            </xdr:cNvPr>
            <xdr:cNvGraphicFramePr/>
          </xdr:nvGraphicFramePr>
          <xdr:xfrm>
            <a:off x="0" y="0"/>
            <a:ext cx="0" cy="0"/>
          </xdr:xfrm>
          <a:graphic>
            <a:graphicData uri="http://schemas.microsoft.com/office/drawing/2010/slicer">
              <sle:slicer xmlns:sle="http://schemas.microsoft.com/office/drawing/2010/slicer" name="الفئة"/>
            </a:graphicData>
          </a:graphic>
        </xdr:graphicFrame>
      </mc:Choice>
      <mc:Fallback>
        <xdr:sp macro="" textlink="">
          <xdr:nvSpPr>
            <xdr:cNvPr id="0" name=""/>
            <xdr:cNvSpPr>
              <a:spLocks noTextEdit="1"/>
            </xdr:cNvSpPr>
          </xdr:nvSpPr>
          <xdr:spPr>
            <a:xfrm>
              <a:off x="9984981300" y="3129915"/>
              <a:ext cx="1840230" cy="2442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274320</xdr:colOff>
      <xdr:row>17</xdr:row>
      <xdr:rowOff>38100</xdr:rowOff>
    </xdr:from>
    <xdr:to>
      <xdr:col>14</xdr:col>
      <xdr:colOff>129540</xdr:colOff>
      <xdr:row>30</xdr:row>
      <xdr:rowOff>127635</xdr:rowOff>
    </xdr:to>
    <mc:AlternateContent xmlns:mc="http://schemas.openxmlformats.org/markup-compatibility/2006">
      <mc:Choice xmlns:a14="http://schemas.microsoft.com/office/drawing/2010/main" Requires="a14">
        <xdr:graphicFrame macro="">
          <xdr:nvGraphicFramePr>
            <xdr:cNvPr id="8" name="طريقة الدفع">
              <a:extLst>
                <a:ext uri="{FF2B5EF4-FFF2-40B4-BE49-F238E27FC236}">
                  <a16:creationId xmlns:a16="http://schemas.microsoft.com/office/drawing/2014/main" id="{F5B0FAF9-EA73-4738-9BC9-0200753BC42B}"/>
                </a:ext>
              </a:extLst>
            </xdr:cNvPr>
            <xdr:cNvGraphicFramePr/>
          </xdr:nvGraphicFramePr>
          <xdr:xfrm>
            <a:off x="0" y="0"/>
            <a:ext cx="0" cy="0"/>
          </xdr:xfrm>
          <a:graphic>
            <a:graphicData uri="http://schemas.microsoft.com/office/drawing/2010/slicer">
              <sle:slicer xmlns:sle="http://schemas.microsoft.com/office/drawing/2010/slicer" name="طريقة الدفع"/>
            </a:graphicData>
          </a:graphic>
        </xdr:graphicFrame>
      </mc:Choice>
      <mc:Fallback>
        <xdr:sp macro="" textlink="">
          <xdr:nvSpPr>
            <xdr:cNvPr id="0" name=""/>
            <xdr:cNvSpPr>
              <a:spLocks noTextEdit="1"/>
            </xdr:cNvSpPr>
          </xdr:nvSpPr>
          <xdr:spPr>
            <a:xfrm>
              <a:off x="9983146785" y="3114675"/>
              <a:ext cx="1826895" cy="2442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ter.house" refreshedDate="46304.652888773147" createdVersion="7" refreshedVersion="7" minRefreshableVersion="3" recordCount="1000" xr:uid="{88E2E010-2CC9-478A-8A37-407BC071BBA5}">
  <cacheSource type="worksheet">
    <worksheetSource name="SalesTable"/>
  </cacheSource>
  <cacheFields count="14">
    <cacheField name="رقم العملية" numFmtId="0">
      <sharedItems containsSemiMixedTypes="0" containsString="0" containsNumber="1" containsInteger="1" minValue="10001" maxValue="11000"/>
    </cacheField>
    <cacheField name="اسم الموظف" numFmtId="0">
      <sharedItems/>
    </cacheField>
    <cacheField name="التاريخ" numFmtId="164">
      <sharedItems containsSemiMixedTypes="0" containsNonDate="0" containsDate="1" containsString="0" minDate="2026-01-01T00:00:00" maxDate="2027-01-01T00:00:00"/>
    </cacheField>
    <cacheField name="المنتج" numFmtId="0">
      <sharedItems count="15">
        <s v="فلاشة 128GB"/>
        <s v="لابتوب HP"/>
        <s v="شاشة Samsung"/>
        <s v="لابتوب Dell"/>
        <s v="كابل شبكة"/>
        <s v="كيبورد Logitech"/>
        <s v="شاشة LG"/>
        <s v="هارد SSD 512GB"/>
        <s v="كاميرا ويب"/>
        <s v="سماعة Headset"/>
        <s v="راوتر TP-Link"/>
        <s v="طابعة HP"/>
        <s v="هارد SSD 1TB"/>
        <s v="لابتوب Lenovo"/>
        <s v="ماوس Logitech"/>
      </sharedItems>
    </cacheField>
    <cacheField name="الفئة" numFmtId="0">
      <sharedItems count="6">
        <s v="تخزين"/>
        <s v="أجهزة كمبيوتر"/>
        <s v="شاشات"/>
        <s v="شبكات"/>
        <s v="إكسسوارات"/>
        <s v="طابعات"/>
      </sharedItems>
    </cacheField>
    <cacheField name="المحافظة" numFmtId="0">
      <sharedItems count="8">
        <s v="الجيزة"/>
        <s v="القاهرة"/>
        <s v="المنوفية"/>
        <s v="الشرقية"/>
        <s v="البحيرة"/>
        <s v="الإسكندرية"/>
        <s v="القليوبية"/>
        <s v="الدقهلية"/>
      </sharedItems>
    </cacheField>
    <cacheField name="المدينة" numFmtId="0">
      <sharedItems count="27">
        <s v="الدقي"/>
        <s v="مدينة نصر"/>
        <s v="منوف"/>
        <s v="التجمع"/>
        <s v="الزقازيق"/>
        <s v="شبين الكوم"/>
        <s v="مصر الجديدة"/>
        <s v="دمنهور"/>
        <s v="سيدي جابر"/>
        <s v="سموحة"/>
        <s v="المعادي"/>
        <s v="رشيد"/>
        <s v="السادات"/>
        <s v="الهرم"/>
        <s v="شبرا الخيمة"/>
        <s v="ميت غمر"/>
        <s v="6 أكتوبر"/>
        <s v="العاشر من رمضان"/>
        <s v="المنصورة"/>
        <s v="طلخا"/>
        <s v="كفر الدوار"/>
        <s v="العصافرة"/>
        <s v="قليوب"/>
        <s v="بنها"/>
        <s v="بلبيس"/>
        <s v="ميامي"/>
        <s v="العجوزة"/>
      </sharedItems>
    </cacheField>
    <cacheField name="الكمية" numFmtId="0">
      <sharedItems containsSemiMixedTypes="0" containsString="0" containsNumber="1" containsInteger="1" minValue="1" maxValue="10" count="10">
        <n v="5"/>
        <n v="4"/>
        <n v="10"/>
        <n v="2"/>
        <n v="9"/>
        <n v="6"/>
        <n v="8"/>
        <n v="7"/>
        <n v="3"/>
        <n v="1"/>
      </sharedItems>
    </cacheField>
    <cacheField name="سعر الوحدة" numFmtId="0">
      <sharedItems containsSemiMixedTypes="0" containsString="0" containsNumber="1" containsInteger="1" minValue="150" maxValue="32000" count="15">
        <n v="650"/>
        <n v="25000"/>
        <n v="7500"/>
        <n v="32000"/>
        <n v="150"/>
        <n v="1200"/>
        <n v="9000"/>
        <n v="3200"/>
        <n v="1400"/>
        <n v="1800"/>
        <n v="2200"/>
        <n v="6500"/>
        <n v="5200"/>
        <n v="28000"/>
        <n v="450"/>
      </sharedItems>
    </cacheField>
    <cacheField name="الخصم" numFmtId="0">
      <sharedItems containsSemiMixedTypes="0" containsString="0" containsNumber="1" minValue="0" maxValue="0.15"/>
    </cacheField>
    <cacheField name="طريقة الدفع" numFmtId="0">
      <sharedItems count="4">
        <s v="كاش"/>
        <s v="محفظة إلكترونية"/>
        <s v="تحويل بنكي"/>
        <s v="فيزا"/>
      </sharedItems>
    </cacheField>
    <cacheField name="حالة الطلب" numFmtId="0">
      <sharedItems count="4">
        <s v="مكتمل"/>
        <s v="قيد الشحن"/>
        <s v="ملغي"/>
        <s v="مرتجع"/>
      </sharedItems>
    </cacheField>
    <cacheField name="اسم العميل" numFmtId="0">
      <sharedItems/>
    </cacheField>
    <cacheField name="المجموع" numFmtId="0">
      <sharedItems containsSemiMixedTypes="0" containsString="0" containsNumber="1" containsInteger="1" minValue="150" maxValue="320000" count="128">
        <n v="3250"/>
        <n v="100000"/>
        <n v="75000"/>
        <n v="64000"/>
        <n v="1350"/>
        <n v="4800"/>
        <n v="54000"/>
        <n v="25600"/>
        <n v="8400"/>
        <n v="37500"/>
        <n v="22500"/>
        <n v="6500"/>
        <n v="12600"/>
        <n v="81000"/>
        <n v="18000"/>
        <n v="12000"/>
        <n v="1950"/>
        <n v="750"/>
        <n v="1200"/>
        <n v="4400"/>
        <n v="14400"/>
        <n v="8800"/>
        <n v="128000"/>
        <n v="5600"/>
        <n v="45500"/>
        <n v="225000"/>
        <n v="36400"/>
        <n v="2600"/>
        <n v="3900"/>
        <n v="7200"/>
        <n v="140000"/>
        <n v="3200"/>
        <n v="450"/>
        <n v="168000"/>
        <n v="2700"/>
        <n v="19500"/>
        <n v="9000"/>
        <n v="19800"/>
        <n v="10400"/>
        <n v="36000"/>
        <n v="250000"/>
        <n v="7500"/>
        <n v="60000"/>
        <n v="2250"/>
        <n v="96000"/>
        <n v="175000"/>
        <n v="32000"/>
        <n v="72000"/>
        <n v="280000"/>
        <n v="196000"/>
        <n v="7000"/>
        <n v="6400"/>
        <n v="45000"/>
        <n v="16200"/>
        <n v="1800"/>
        <n v="6000"/>
        <n v="9600"/>
        <n v="27000"/>
        <n v="4500"/>
        <n v="13000"/>
        <n v="63000"/>
        <n v="31200"/>
        <n v="52000"/>
        <n v="41600"/>
        <n v="150000"/>
        <n v="3600"/>
        <n v="900"/>
        <n v="32500"/>
        <n v="320000"/>
        <n v="19200"/>
        <n v="15400"/>
        <n v="84000"/>
        <n v="125000"/>
        <n v="224000"/>
        <n v="1400"/>
        <n v="20800"/>
        <n v="288000"/>
        <n v="39000"/>
        <n v="9800"/>
        <n v="4550"/>
        <n v="28000"/>
        <n v="192000"/>
        <n v="2400"/>
        <n v="650"/>
        <n v="3150"/>
        <n v="28800"/>
        <n v="5400"/>
        <n v="46800"/>
        <n v="160000"/>
        <n v="13200"/>
        <n v="67500"/>
        <n v="11200"/>
        <n v="4050"/>
        <n v="30000"/>
        <n v="600"/>
        <n v="4200"/>
        <n v="56000"/>
        <n v="12800"/>
        <n v="6600"/>
        <n v="14000"/>
        <n v="5850"/>
        <n v="52500"/>
        <n v="26000"/>
        <n v="22000"/>
        <n v="15000"/>
        <n v="1300"/>
        <n v="112000"/>
        <n v="25000"/>
        <n v="2800"/>
        <n v="17600"/>
        <n v="10800"/>
        <n v="5200"/>
        <n v="11000"/>
        <n v="150"/>
        <n v="90000"/>
        <n v="2200"/>
        <n v="1500"/>
        <n v="252000"/>
        <n v="200000"/>
        <n v="15600"/>
        <n v="50000"/>
        <n v="16000"/>
        <n v="256000"/>
        <n v="300"/>
        <n v="65000"/>
        <n v="22400"/>
        <n v="58500"/>
        <n v="1050"/>
      </sharedItems>
    </cacheField>
  </cacheFields>
  <extLst>
    <ext xmlns:x14="http://schemas.microsoft.com/office/spreadsheetml/2009/9/main" uri="{725AE2AE-9491-48be-B2B4-4EB974FC3084}">
      <x14:pivotCacheDefinition pivotCacheId="7878972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ter.house" refreshedDate="46304.665740972225" createdVersion="7" refreshedVersion="7" minRefreshableVersion="3" recordCount="1000" xr:uid="{81EF78F8-3870-41B1-BF88-6B54B812E03C}">
  <cacheSource type="worksheet">
    <worksheetSource name="SalesTable"/>
  </cacheSource>
  <cacheFields count="15">
    <cacheField name="رقم العملية" numFmtId="0">
      <sharedItems containsSemiMixedTypes="0" containsString="0" containsNumber="1" containsInteger="1" minValue="10001" maxValue="11000"/>
    </cacheField>
    <cacheField name="اسم الموظف" numFmtId="0">
      <sharedItems/>
    </cacheField>
    <cacheField name="التاريخ" numFmtId="14">
      <sharedItems containsSemiMixedTypes="0" containsNonDate="0" containsDate="1" containsString="0" minDate="2026-01-01T00:00:00" maxDate="2027-01-01T00:00:00"/>
    </cacheField>
    <cacheField name="المنتج" numFmtId="0">
      <sharedItems count="15">
        <s v="فلاشة 128GB"/>
        <s v="لابتوب HP"/>
        <s v="شاشة Samsung"/>
        <s v="لابتوب Dell"/>
        <s v="كابل شبكة"/>
        <s v="كيبورد Logitech"/>
        <s v="شاشة LG"/>
        <s v="هارد SSD 512GB"/>
        <s v="كاميرا ويب"/>
        <s v="سماعة Headset"/>
        <s v="راوتر TP-Link"/>
        <s v="طابعة HP"/>
        <s v="هارد SSD 1TB"/>
        <s v="لابتوب Lenovo"/>
        <s v="ماوس Logitech"/>
      </sharedItems>
    </cacheField>
    <cacheField name="الفئة" numFmtId="0">
      <sharedItems/>
    </cacheField>
    <cacheField name="المحافظة" numFmtId="0">
      <sharedItems count="8">
        <s v="الجيزة"/>
        <s v="القاهرة"/>
        <s v="المنوفية"/>
        <s v="الشرقية"/>
        <s v="البحيرة"/>
        <s v="الإسكندرية"/>
        <s v="القليوبية"/>
        <s v="الدقهلية"/>
      </sharedItems>
    </cacheField>
    <cacheField name="المدينة" numFmtId="0">
      <sharedItems count="27">
        <s v="الدقي"/>
        <s v="مدينة نصر"/>
        <s v="منوف"/>
        <s v="التجمع"/>
        <s v="الزقازيق"/>
        <s v="شبين الكوم"/>
        <s v="مصر الجديدة"/>
        <s v="دمنهور"/>
        <s v="سيدي جابر"/>
        <s v="سموحة"/>
        <s v="المعادي"/>
        <s v="رشيد"/>
        <s v="السادات"/>
        <s v="الهرم"/>
        <s v="شبرا الخيمة"/>
        <s v="ميت غمر"/>
        <s v="6 أكتوبر"/>
        <s v="العاشر من رمضان"/>
        <s v="المنصورة"/>
        <s v="طلخا"/>
        <s v="كفر الدوار"/>
        <s v="العصافرة"/>
        <s v="قليوب"/>
        <s v="بنها"/>
        <s v="بلبيس"/>
        <s v="ميامي"/>
        <s v="العجوزة"/>
      </sharedItems>
    </cacheField>
    <cacheField name="الكمية" numFmtId="0">
      <sharedItems containsSemiMixedTypes="0" containsString="0" containsNumber="1" containsInteger="1" minValue="1" maxValue="10"/>
    </cacheField>
    <cacheField name="سعر الوحدة" numFmtId="0">
      <sharedItems containsSemiMixedTypes="0" containsString="0" containsNumber="1" containsInteger="1" minValue="150" maxValue="32000"/>
    </cacheField>
    <cacheField name="الخصم" numFmtId="0">
      <sharedItems containsSemiMixedTypes="0" containsString="0" containsNumber="1" minValue="0" maxValue="0.15"/>
    </cacheField>
    <cacheField name="طريقة الدفع" numFmtId="0">
      <sharedItems/>
    </cacheField>
    <cacheField name="حالة الطلب" numFmtId="0">
      <sharedItems count="4">
        <s v="مكتمل"/>
        <s v="قيد الشحن"/>
        <s v="ملغي"/>
        <s v="مرتجع"/>
      </sharedItems>
    </cacheField>
    <cacheField name="اسم العميل" numFmtId="0">
      <sharedItems/>
    </cacheField>
    <cacheField name="المجموع" numFmtId="0">
      <sharedItems containsSemiMixedTypes="0" containsString="0" containsNumber="1" containsInteger="1" minValue="150" maxValue="320000"/>
    </cacheField>
    <cacheField name="صافي الربح" numFmtId="0">
      <sharedItems containsSemiMixedTypes="0" containsString="0" containsNumber="1" minValue="127.5" maxValue="32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ter.house" refreshedDate="46324.563140625003" backgroundQuery="1" createdVersion="7" refreshedVersion="7" minRefreshableVersion="3" recordCount="0" supportSubquery="1" supportAdvancedDrill="1" xr:uid="{7168B710-1C5A-47B7-AE67-DA854FD2CFF9}">
  <cacheSource type="external" connectionId="1"/>
  <cacheFields count="5">
    <cacheField name="[Table1].[المنتج].[المنتج]" caption="المنتج" numFmtId="0" hierarchy="3" level="1">
      <sharedItems count="15">
        <s v="راوتر TP-Link"/>
        <s v="سماعة Headset"/>
        <s v="شاشة LG"/>
        <s v="شاشة Samsung"/>
        <s v="طابعة HP"/>
        <s v="فلاشة 128GB"/>
        <s v="كابل شبكة"/>
        <s v="كاميرا ويب"/>
        <s v="كيبورد Logitech"/>
        <s v="لابتوب Dell"/>
        <s v="لابتوب HP"/>
        <s v="لابتوب Lenovo"/>
        <s v="ماوس Logitech"/>
        <s v="هارد SSD 1TB"/>
        <s v="هارد SSD 512GB"/>
      </sharedItems>
    </cacheField>
    <cacheField name="[Table1].[المحافظة].[المحافظة]" caption="المحافظة" numFmtId="0" hierarchy="5" level="1">
      <sharedItems containsSemiMixedTypes="0" containsNonDate="0" containsString="0"/>
    </cacheField>
    <cacheField name="[Table1].[المدينة].[المدينة]" caption="المدينة" numFmtId="0" hierarchy="6" level="1">
      <sharedItems containsSemiMixedTypes="0" containsNonDate="0" containsString="0"/>
    </cacheField>
    <cacheField name="[Table1].[حالة الطلب].[حالة الطلب]" caption="حالة الطلب" numFmtId="0" hierarchy="11" level="1">
      <sharedItems containsSemiMixedTypes="0" containsNonDate="0" containsString="0"/>
    </cacheField>
    <cacheField name="[Measures].[Sum of صافي الربح]" caption="Sum of صافي الربح" numFmtId="0" hierarchy="18" level="32767"/>
  </cacheFields>
  <cacheHierarchies count="19">
    <cacheHierarchy uniqueName="[Table1].[رقم العملية]" caption="رقم العملية" attribute="1" defaultMemberUniqueName="[Table1].[رقم العملية].[All]" allUniqueName="[Table1].[رقم العملية].[All]" dimensionUniqueName="[Table1]" displayFolder="" count="0" memberValueDatatype="20" unbalanced="0"/>
    <cacheHierarchy uniqueName="[Table1].[اسم الموظف]" caption="اسم الموظف" attribute="1" defaultMemberUniqueName="[Table1].[اسم الموظف].[All]" allUniqueName="[Table1].[اسم الموظف].[All]" dimensionUniqueName="[Table1]" displayFolder="" count="0" memberValueDatatype="130" unbalanced="0"/>
    <cacheHierarchy uniqueName="[Table1].[التاريخ]" caption="التاريخ" attribute="1" time="1" defaultMemberUniqueName="[Table1].[التاريخ].[All]" allUniqueName="[Table1].[التاريخ].[All]" dimensionUniqueName="[Table1]" displayFolder="" count="0" memberValueDatatype="7" unbalanced="0"/>
    <cacheHierarchy uniqueName="[Table1].[المنتج]" caption="المنتج" attribute="1" defaultMemberUniqueName="[Table1].[المنتج].[All]" allUniqueName="[Table1].[المنتج].[All]" dimensionUniqueName="[Table1]" displayFolder="" count="2" memberValueDatatype="130" unbalanced="0">
      <fieldsUsage count="2">
        <fieldUsage x="-1"/>
        <fieldUsage x="0"/>
      </fieldsUsage>
    </cacheHierarchy>
    <cacheHierarchy uniqueName="[Table1].[الفئة]" caption="الفئة" attribute="1" defaultMemberUniqueName="[Table1].[الفئة].[All]" allUniqueName="[Table1].[الفئة].[All]" dimensionUniqueName="[Table1]" displayFolder="" count="0" memberValueDatatype="130" unbalanced="0"/>
    <cacheHierarchy uniqueName="[Table1].[المحافظة]" caption="المحافظة" attribute="1" defaultMemberUniqueName="[Table1].[المحافظة].[All]" allUniqueName="[Table1].[المحافظة].[All]" dimensionUniqueName="[Table1]" displayFolder="" count="2" memberValueDatatype="130" unbalanced="0">
      <fieldsUsage count="2">
        <fieldUsage x="-1"/>
        <fieldUsage x="1"/>
      </fieldsUsage>
    </cacheHierarchy>
    <cacheHierarchy uniqueName="[Table1].[المدينة]" caption="المدينة" attribute="1" defaultMemberUniqueName="[Table1].[المدينة].[All]" allUniqueName="[Table1].[المدينة].[All]" dimensionUniqueName="[Table1]" displayFolder="" count="2" memberValueDatatype="130" unbalanced="0">
      <fieldsUsage count="2">
        <fieldUsage x="-1"/>
        <fieldUsage x="2"/>
      </fieldsUsage>
    </cacheHierarchy>
    <cacheHierarchy uniqueName="[Table1].[الكمية]" caption="الكمية" attribute="1" defaultMemberUniqueName="[Table1].[الكمية].[All]" allUniqueName="[Table1].[الكمية].[All]" dimensionUniqueName="[Table1]" displayFolder="" count="2" memberValueDatatype="20" unbalanced="0"/>
    <cacheHierarchy uniqueName="[Table1].[سعر الوحدة]" caption="سعر الوحدة" attribute="1" defaultMemberUniqueName="[Table1].[سعر الوحدة].[All]" allUniqueName="[Table1].[سعر الوحدة].[All]" dimensionUniqueName="[Table1]" displayFolder="" count="0" memberValueDatatype="20" unbalanced="0"/>
    <cacheHierarchy uniqueName="[Table1].[الخصم]" caption="الخصم" attribute="1" defaultMemberUniqueName="[Table1].[الخصم].[All]" allUniqueName="[Table1].[الخصم].[All]" dimensionUniqueName="[Table1]" displayFolder="" count="0" memberValueDatatype="5" unbalanced="0"/>
    <cacheHierarchy uniqueName="[Table1].[طريقة الدفع]" caption="طريقة الدفع" attribute="1" defaultMemberUniqueName="[Table1].[طريقة الدفع].[All]" allUniqueName="[Table1].[طريقة الدفع].[All]" dimensionUniqueName="[Table1]" displayFolder="" count="0" memberValueDatatype="130" unbalanced="0"/>
    <cacheHierarchy uniqueName="[Table1].[حالة الطلب]" caption="حالة الطلب" attribute="1" defaultMemberUniqueName="[Table1].[حالة الطلب].[All]" allUniqueName="[Table1].[حالة الطلب].[All]" dimensionUniqueName="[Table1]" displayFolder="" count="2" memberValueDatatype="130" unbalanced="0">
      <fieldsUsage count="2">
        <fieldUsage x="-1"/>
        <fieldUsage x="3"/>
      </fieldsUsage>
    </cacheHierarchy>
    <cacheHierarchy uniqueName="[Table1].[اسم العميل]" caption="اسم العميل" attribute="1" defaultMemberUniqueName="[Table1].[اسم العميل].[All]" allUniqueName="[Table1].[اسم العميل].[All]" dimensionUniqueName="[Table1]" displayFolder="" count="0" memberValueDatatype="130" unbalanced="0"/>
    <cacheHierarchy uniqueName="[Table1].[المجموع]" caption="المجموع" attribute="1" defaultMemberUniqueName="[Table1].[المجموع].[All]" allUniqueName="[Table1].[المجموع].[All]" dimensionUniqueName="[Table1]" displayFolder="" count="0" memberValueDatatype="20" unbalanced="0"/>
    <cacheHierarchy uniqueName="[Table1].[صافي الربح]" caption="صافي الربح" attribute="1" defaultMemberUniqueName="[Table1].[صافي الربح].[All]" allUniqueName="[Table1].[صافي الربح].[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المجموع]" caption="Sum of المجموع" measure="1" displayFolder="" measureGroup="Table1" count="0" hidden="1">
      <extLst>
        <ext xmlns:x15="http://schemas.microsoft.com/office/spreadsheetml/2010/11/main" uri="{B97F6D7D-B522-45F9-BDA1-12C45D357490}">
          <x15:cacheHierarchy aggregatedColumn="13"/>
        </ext>
      </extLst>
    </cacheHierarchy>
    <cacheHierarchy uniqueName="[Measures].[Sum of صافي الربح]" caption="Sum of صافي الربح" measure="1" displayFolder="" measureGroup="Table1" count="0" oneField="1" hidden="1">
      <fieldsUsage count="1">
        <fieldUsage x="4"/>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01"/>
    <s v="مؤمن"/>
    <d v="2026-03-13T00:00:00"/>
    <x v="0"/>
    <x v="0"/>
    <x v="0"/>
    <x v="0"/>
    <x v="0"/>
    <x v="0"/>
    <n v="0.03"/>
    <x v="0"/>
    <x v="0"/>
    <s v="عميل 217"/>
    <x v="0"/>
  </r>
  <r>
    <n v="10002"/>
    <s v="مصطفى"/>
    <d v="2026-11-05T00:00:00"/>
    <x v="1"/>
    <x v="1"/>
    <x v="1"/>
    <x v="1"/>
    <x v="1"/>
    <x v="1"/>
    <n v="0.03"/>
    <x v="0"/>
    <x v="1"/>
    <s v="عميل 280"/>
    <x v="1"/>
  </r>
  <r>
    <n v="10003"/>
    <s v="أحمد"/>
    <d v="2026-03-23T00:00:00"/>
    <x v="2"/>
    <x v="2"/>
    <x v="2"/>
    <x v="2"/>
    <x v="2"/>
    <x v="2"/>
    <n v="0.05"/>
    <x v="1"/>
    <x v="2"/>
    <s v="عميل 143"/>
    <x v="2"/>
  </r>
  <r>
    <n v="10004"/>
    <s v="علي"/>
    <d v="2026-02-19T00:00:00"/>
    <x v="3"/>
    <x v="1"/>
    <x v="2"/>
    <x v="2"/>
    <x v="3"/>
    <x v="3"/>
    <n v="0"/>
    <x v="2"/>
    <x v="2"/>
    <s v="عميل 136"/>
    <x v="3"/>
  </r>
  <r>
    <n v="10005"/>
    <s v="علي"/>
    <d v="2026-02-10T00:00:00"/>
    <x v="4"/>
    <x v="3"/>
    <x v="1"/>
    <x v="3"/>
    <x v="4"/>
    <x v="4"/>
    <n v="0"/>
    <x v="2"/>
    <x v="2"/>
    <s v="عميل 296"/>
    <x v="4"/>
  </r>
  <r>
    <n v="10006"/>
    <s v="محمد"/>
    <d v="2026-04-30T00:00:00"/>
    <x v="5"/>
    <x v="4"/>
    <x v="0"/>
    <x v="0"/>
    <x v="1"/>
    <x v="5"/>
    <n v="0.05"/>
    <x v="0"/>
    <x v="3"/>
    <s v="عميل 143"/>
    <x v="5"/>
  </r>
  <r>
    <n v="10007"/>
    <s v="مؤمن"/>
    <d v="2026-12-10T00:00:00"/>
    <x v="6"/>
    <x v="2"/>
    <x v="3"/>
    <x v="4"/>
    <x v="5"/>
    <x v="6"/>
    <n v="0.05"/>
    <x v="2"/>
    <x v="0"/>
    <s v="عميل 88"/>
    <x v="6"/>
  </r>
  <r>
    <n v="10008"/>
    <s v="عمر"/>
    <d v="2026-11-24T00:00:00"/>
    <x v="7"/>
    <x v="0"/>
    <x v="2"/>
    <x v="5"/>
    <x v="6"/>
    <x v="7"/>
    <n v="7.0000000000000007E-2"/>
    <x v="3"/>
    <x v="2"/>
    <s v="عميل 29"/>
    <x v="7"/>
  </r>
  <r>
    <n v="10009"/>
    <s v="محمد"/>
    <d v="2026-04-19T00:00:00"/>
    <x v="5"/>
    <x v="4"/>
    <x v="1"/>
    <x v="6"/>
    <x v="7"/>
    <x v="5"/>
    <n v="0.05"/>
    <x v="2"/>
    <x v="1"/>
    <s v="عميل 256"/>
    <x v="8"/>
  </r>
  <r>
    <n v="10010"/>
    <s v="مؤمن"/>
    <d v="2026-10-15T00:00:00"/>
    <x v="2"/>
    <x v="2"/>
    <x v="4"/>
    <x v="7"/>
    <x v="0"/>
    <x v="2"/>
    <n v="0.03"/>
    <x v="2"/>
    <x v="3"/>
    <s v="عميل 299"/>
    <x v="9"/>
  </r>
  <r>
    <n v="10011"/>
    <s v="كريم"/>
    <d v="2026-02-16T00:00:00"/>
    <x v="2"/>
    <x v="2"/>
    <x v="3"/>
    <x v="4"/>
    <x v="8"/>
    <x v="2"/>
    <n v="0.1"/>
    <x v="0"/>
    <x v="0"/>
    <s v="عميل 79"/>
    <x v="10"/>
  </r>
  <r>
    <n v="10012"/>
    <s v="علي"/>
    <d v="2026-07-15T00:00:00"/>
    <x v="0"/>
    <x v="0"/>
    <x v="5"/>
    <x v="8"/>
    <x v="2"/>
    <x v="0"/>
    <n v="0"/>
    <x v="1"/>
    <x v="2"/>
    <s v="عميل 284"/>
    <x v="11"/>
  </r>
  <r>
    <n v="10013"/>
    <s v="محمود"/>
    <d v="2026-02-27T00:00:00"/>
    <x v="8"/>
    <x v="4"/>
    <x v="1"/>
    <x v="1"/>
    <x v="4"/>
    <x v="8"/>
    <n v="0.05"/>
    <x v="2"/>
    <x v="3"/>
    <s v="عميل 81"/>
    <x v="12"/>
  </r>
  <r>
    <n v="10014"/>
    <s v="مصطفى"/>
    <d v="2026-02-24T00:00:00"/>
    <x v="6"/>
    <x v="2"/>
    <x v="1"/>
    <x v="6"/>
    <x v="4"/>
    <x v="6"/>
    <n v="0.03"/>
    <x v="2"/>
    <x v="1"/>
    <s v="عميل 79"/>
    <x v="13"/>
  </r>
  <r>
    <n v="10015"/>
    <s v="كريم"/>
    <d v="2026-01-10T00:00:00"/>
    <x v="9"/>
    <x v="4"/>
    <x v="5"/>
    <x v="9"/>
    <x v="2"/>
    <x v="9"/>
    <n v="0.05"/>
    <x v="0"/>
    <x v="2"/>
    <s v="عميل 158"/>
    <x v="14"/>
  </r>
  <r>
    <n v="10016"/>
    <s v="محمد"/>
    <d v="2026-09-06T00:00:00"/>
    <x v="5"/>
    <x v="4"/>
    <x v="1"/>
    <x v="10"/>
    <x v="2"/>
    <x v="5"/>
    <n v="0"/>
    <x v="0"/>
    <x v="1"/>
    <s v="عميل 66"/>
    <x v="15"/>
  </r>
  <r>
    <n v="10017"/>
    <s v="مصطفى"/>
    <d v="2026-11-07T00:00:00"/>
    <x v="0"/>
    <x v="0"/>
    <x v="4"/>
    <x v="11"/>
    <x v="8"/>
    <x v="0"/>
    <n v="0.05"/>
    <x v="1"/>
    <x v="1"/>
    <s v="عميل 277"/>
    <x v="16"/>
  </r>
  <r>
    <n v="10018"/>
    <s v="محمود"/>
    <d v="2026-08-13T00:00:00"/>
    <x v="4"/>
    <x v="3"/>
    <x v="2"/>
    <x v="12"/>
    <x v="0"/>
    <x v="4"/>
    <n v="7.0000000000000007E-2"/>
    <x v="1"/>
    <x v="0"/>
    <s v="عميل 127"/>
    <x v="17"/>
  </r>
  <r>
    <n v="10019"/>
    <s v="مصطفى"/>
    <d v="2026-04-28T00:00:00"/>
    <x v="5"/>
    <x v="4"/>
    <x v="0"/>
    <x v="13"/>
    <x v="9"/>
    <x v="5"/>
    <n v="0.1"/>
    <x v="3"/>
    <x v="0"/>
    <s v="عميل 37"/>
    <x v="18"/>
  </r>
  <r>
    <n v="10020"/>
    <s v="محمود"/>
    <d v="2026-02-06T00:00:00"/>
    <x v="10"/>
    <x v="3"/>
    <x v="1"/>
    <x v="10"/>
    <x v="3"/>
    <x v="10"/>
    <n v="0"/>
    <x v="3"/>
    <x v="2"/>
    <s v="عميل 249"/>
    <x v="19"/>
  </r>
  <r>
    <n v="10021"/>
    <s v="علي"/>
    <d v="2026-04-08T00:00:00"/>
    <x v="5"/>
    <x v="4"/>
    <x v="5"/>
    <x v="8"/>
    <x v="1"/>
    <x v="5"/>
    <n v="7.0000000000000007E-2"/>
    <x v="0"/>
    <x v="0"/>
    <s v="عميل 221"/>
    <x v="5"/>
  </r>
  <r>
    <n v="10022"/>
    <s v="أحمد"/>
    <d v="2026-12-11T00:00:00"/>
    <x v="9"/>
    <x v="4"/>
    <x v="6"/>
    <x v="14"/>
    <x v="6"/>
    <x v="9"/>
    <n v="0.15"/>
    <x v="0"/>
    <x v="0"/>
    <s v="عميل 207"/>
    <x v="20"/>
  </r>
  <r>
    <n v="10023"/>
    <s v="مؤمن"/>
    <d v="2026-10-02T00:00:00"/>
    <x v="10"/>
    <x v="3"/>
    <x v="3"/>
    <x v="4"/>
    <x v="1"/>
    <x v="10"/>
    <n v="0.03"/>
    <x v="1"/>
    <x v="1"/>
    <s v="عميل 217"/>
    <x v="21"/>
  </r>
  <r>
    <n v="10024"/>
    <s v="كريم"/>
    <d v="2026-10-09T00:00:00"/>
    <x v="3"/>
    <x v="1"/>
    <x v="7"/>
    <x v="15"/>
    <x v="1"/>
    <x v="3"/>
    <n v="0"/>
    <x v="0"/>
    <x v="0"/>
    <s v="عميل 277"/>
    <x v="22"/>
  </r>
  <r>
    <n v="10025"/>
    <s v="علي"/>
    <d v="2026-09-06T00:00:00"/>
    <x v="8"/>
    <x v="4"/>
    <x v="1"/>
    <x v="1"/>
    <x v="1"/>
    <x v="8"/>
    <n v="0.03"/>
    <x v="1"/>
    <x v="1"/>
    <s v="عميل 206"/>
    <x v="23"/>
  </r>
  <r>
    <n v="10026"/>
    <s v="علي"/>
    <d v="2026-05-16T00:00:00"/>
    <x v="11"/>
    <x v="5"/>
    <x v="1"/>
    <x v="10"/>
    <x v="7"/>
    <x v="11"/>
    <n v="0"/>
    <x v="1"/>
    <x v="2"/>
    <s v="عميل 217"/>
    <x v="24"/>
  </r>
  <r>
    <n v="10027"/>
    <s v="مؤمن"/>
    <d v="2026-01-30T00:00:00"/>
    <x v="10"/>
    <x v="3"/>
    <x v="4"/>
    <x v="7"/>
    <x v="1"/>
    <x v="10"/>
    <n v="0.05"/>
    <x v="0"/>
    <x v="2"/>
    <s v="عميل 30"/>
    <x v="21"/>
  </r>
  <r>
    <n v="10028"/>
    <s v="أحمد"/>
    <d v="2026-09-18T00:00:00"/>
    <x v="1"/>
    <x v="1"/>
    <x v="4"/>
    <x v="11"/>
    <x v="4"/>
    <x v="1"/>
    <n v="0.03"/>
    <x v="0"/>
    <x v="1"/>
    <s v="عميل 36"/>
    <x v="25"/>
  </r>
  <r>
    <n v="10029"/>
    <s v="حسن"/>
    <d v="2026-05-07T00:00:00"/>
    <x v="12"/>
    <x v="0"/>
    <x v="0"/>
    <x v="16"/>
    <x v="7"/>
    <x v="12"/>
    <n v="0"/>
    <x v="0"/>
    <x v="0"/>
    <s v="عميل 215"/>
    <x v="26"/>
  </r>
  <r>
    <n v="10030"/>
    <s v="محمود"/>
    <d v="2026-05-03T00:00:00"/>
    <x v="0"/>
    <x v="0"/>
    <x v="3"/>
    <x v="17"/>
    <x v="1"/>
    <x v="0"/>
    <n v="0.15"/>
    <x v="2"/>
    <x v="3"/>
    <s v="عميل 68"/>
    <x v="27"/>
  </r>
  <r>
    <n v="10031"/>
    <s v="أحمد"/>
    <d v="2026-08-23T00:00:00"/>
    <x v="0"/>
    <x v="0"/>
    <x v="7"/>
    <x v="15"/>
    <x v="5"/>
    <x v="0"/>
    <n v="0"/>
    <x v="0"/>
    <x v="0"/>
    <s v="عميل 276"/>
    <x v="28"/>
  </r>
  <r>
    <n v="10032"/>
    <s v="مؤمن"/>
    <d v="2026-07-09T00:00:00"/>
    <x v="5"/>
    <x v="4"/>
    <x v="7"/>
    <x v="18"/>
    <x v="5"/>
    <x v="5"/>
    <n v="0"/>
    <x v="2"/>
    <x v="1"/>
    <s v="عميل 225"/>
    <x v="29"/>
  </r>
  <r>
    <n v="10033"/>
    <s v="مصطفى"/>
    <d v="2026-06-03T00:00:00"/>
    <x v="8"/>
    <x v="4"/>
    <x v="7"/>
    <x v="19"/>
    <x v="4"/>
    <x v="8"/>
    <n v="0"/>
    <x v="0"/>
    <x v="1"/>
    <s v="عميل 136"/>
    <x v="12"/>
  </r>
  <r>
    <n v="10034"/>
    <s v="حسن"/>
    <d v="2026-04-18T00:00:00"/>
    <x v="13"/>
    <x v="1"/>
    <x v="0"/>
    <x v="16"/>
    <x v="0"/>
    <x v="13"/>
    <n v="0.05"/>
    <x v="2"/>
    <x v="1"/>
    <s v="عميل 136"/>
    <x v="30"/>
  </r>
  <r>
    <n v="10035"/>
    <s v="علي"/>
    <d v="2026-05-22T00:00:00"/>
    <x v="7"/>
    <x v="0"/>
    <x v="4"/>
    <x v="20"/>
    <x v="9"/>
    <x v="7"/>
    <n v="0"/>
    <x v="0"/>
    <x v="0"/>
    <s v="عميل 171"/>
    <x v="31"/>
  </r>
  <r>
    <n v="10036"/>
    <s v="كريم"/>
    <d v="2026-10-10T00:00:00"/>
    <x v="4"/>
    <x v="3"/>
    <x v="5"/>
    <x v="21"/>
    <x v="8"/>
    <x v="4"/>
    <n v="0.15"/>
    <x v="1"/>
    <x v="0"/>
    <s v="عميل 58"/>
    <x v="32"/>
  </r>
  <r>
    <n v="10037"/>
    <s v="مصطفى"/>
    <d v="2026-03-17T00:00:00"/>
    <x v="13"/>
    <x v="1"/>
    <x v="5"/>
    <x v="9"/>
    <x v="5"/>
    <x v="13"/>
    <n v="0.1"/>
    <x v="1"/>
    <x v="1"/>
    <s v="عميل 22"/>
    <x v="33"/>
  </r>
  <r>
    <n v="10038"/>
    <s v="مؤمن"/>
    <d v="2026-12-08T00:00:00"/>
    <x v="14"/>
    <x v="4"/>
    <x v="3"/>
    <x v="4"/>
    <x v="5"/>
    <x v="14"/>
    <n v="0.03"/>
    <x v="0"/>
    <x v="2"/>
    <s v="عميل 287"/>
    <x v="34"/>
  </r>
  <r>
    <n v="10039"/>
    <s v="يوسف"/>
    <d v="2026-04-01T00:00:00"/>
    <x v="11"/>
    <x v="5"/>
    <x v="6"/>
    <x v="22"/>
    <x v="8"/>
    <x v="11"/>
    <n v="0.03"/>
    <x v="1"/>
    <x v="0"/>
    <s v="عميل 92"/>
    <x v="35"/>
  </r>
  <r>
    <n v="10040"/>
    <s v="يوسف"/>
    <d v="2026-12-26T00:00:00"/>
    <x v="10"/>
    <x v="3"/>
    <x v="3"/>
    <x v="17"/>
    <x v="1"/>
    <x v="10"/>
    <n v="0.05"/>
    <x v="0"/>
    <x v="3"/>
    <s v="عميل 20"/>
    <x v="21"/>
  </r>
  <r>
    <n v="10041"/>
    <s v="محمود"/>
    <d v="2026-06-06T00:00:00"/>
    <x v="8"/>
    <x v="4"/>
    <x v="4"/>
    <x v="7"/>
    <x v="1"/>
    <x v="8"/>
    <n v="7.0000000000000007E-2"/>
    <x v="3"/>
    <x v="1"/>
    <s v="عميل 13"/>
    <x v="23"/>
  </r>
  <r>
    <n v="10042"/>
    <s v="محمد"/>
    <d v="2026-05-23T00:00:00"/>
    <x v="0"/>
    <x v="0"/>
    <x v="2"/>
    <x v="2"/>
    <x v="5"/>
    <x v="0"/>
    <n v="0.05"/>
    <x v="2"/>
    <x v="3"/>
    <s v="عميل 275"/>
    <x v="28"/>
  </r>
  <r>
    <n v="10043"/>
    <s v="حسن"/>
    <d v="2026-05-16T00:00:00"/>
    <x v="9"/>
    <x v="4"/>
    <x v="1"/>
    <x v="1"/>
    <x v="0"/>
    <x v="9"/>
    <n v="0.03"/>
    <x v="0"/>
    <x v="0"/>
    <s v="عميل 223"/>
    <x v="36"/>
  </r>
  <r>
    <n v="10044"/>
    <s v="محمد"/>
    <d v="2026-07-17T00:00:00"/>
    <x v="9"/>
    <x v="4"/>
    <x v="3"/>
    <x v="17"/>
    <x v="2"/>
    <x v="9"/>
    <n v="0.1"/>
    <x v="3"/>
    <x v="2"/>
    <s v="عميل 23"/>
    <x v="14"/>
  </r>
  <r>
    <n v="10045"/>
    <s v="مؤمن"/>
    <d v="2026-07-06T00:00:00"/>
    <x v="10"/>
    <x v="3"/>
    <x v="6"/>
    <x v="23"/>
    <x v="4"/>
    <x v="10"/>
    <n v="0.1"/>
    <x v="1"/>
    <x v="0"/>
    <s v="عميل 170"/>
    <x v="37"/>
  </r>
  <r>
    <n v="10046"/>
    <s v="عمر"/>
    <d v="2026-09-17T00:00:00"/>
    <x v="12"/>
    <x v="0"/>
    <x v="3"/>
    <x v="24"/>
    <x v="3"/>
    <x v="12"/>
    <n v="0.15"/>
    <x v="2"/>
    <x v="3"/>
    <s v="عميل 168"/>
    <x v="38"/>
  </r>
  <r>
    <n v="10047"/>
    <s v="علي"/>
    <d v="2026-12-07T00:00:00"/>
    <x v="2"/>
    <x v="2"/>
    <x v="7"/>
    <x v="19"/>
    <x v="8"/>
    <x v="2"/>
    <n v="0.03"/>
    <x v="1"/>
    <x v="1"/>
    <s v="عميل 292"/>
    <x v="10"/>
  </r>
  <r>
    <n v="10048"/>
    <s v="عمر"/>
    <d v="2026-04-18T00:00:00"/>
    <x v="14"/>
    <x v="4"/>
    <x v="6"/>
    <x v="22"/>
    <x v="9"/>
    <x v="14"/>
    <n v="0.05"/>
    <x v="1"/>
    <x v="2"/>
    <s v="عميل 239"/>
    <x v="32"/>
  </r>
  <r>
    <n v="10049"/>
    <s v="كريم"/>
    <d v="2026-03-28T00:00:00"/>
    <x v="6"/>
    <x v="2"/>
    <x v="4"/>
    <x v="11"/>
    <x v="1"/>
    <x v="6"/>
    <n v="0.1"/>
    <x v="0"/>
    <x v="2"/>
    <s v="عميل 264"/>
    <x v="39"/>
  </r>
  <r>
    <n v="10050"/>
    <s v="عمر"/>
    <d v="2026-04-26T00:00:00"/>
    <x v="0"/>
    <x v="0"/>
    <x v="3"/>
    <x v="4"/>
    <x v="1"/>
    <x v="0"/>
    <n v="0.15"/>
    <x v="3"/>
    <x v="1"/>
    <s v="عميل 13"/>
    <x v="27"/>
  </r>
  <r>
    <n v="10051"/>
    <s v="كريم"/>
    <d v="2026-08-01T00:00:00"/>
    <x v="1"/>
    <x v="1"/>
    <x v="2"/>
    <x v="2"/>
    <x v="2"/>
    <x v="1"/>
    <n v="0"/>
    <x v="3"/>
    <x v="3"/>
    <s v="عميل 254"/>
    <x v="40"/>
  </r>
  <r>
    <n v="10052"/>
    <s v="علي"/>
    <d v="2026-04-23T00:00:00"/>
    <x v="2"/>
    <x v="2"/>
    <x v="2"/>
    <x v="5"/>
    <x v="9"/>
    <x v="2"/>
    <n v="0"/>
    <x v="3"/>
    <x v="3"/>
    <s v="عميل 26"/>
    <x v="41"/>
  </r>
  <r>
    <n v="10053"/>
    <s v="كريم"/>
    <d v="2026-12-08T00:00:00"/>
    <x v="7"/>
    <x v="0"/>
    <x v="2"/>
    <x v="5"/>
    <x v="6"/>
    <x v="7"/>
    <n v="0.03"/>
    <x v="2"/>
    <x v="3"/>
    <s v="عميل 259"/>
    <x v="7"/>
  </r>
  <r>
    <n v="10054"/>
    <s v="عمر"/>
    <d v="2026-05-07T00:00:00"/>
    <x v="2"/>
    <x v="2"/>
    <x v="4"/>
    <x v="7"/>
    <x v="6"/>
    <x v="2"/>
    <n v="7.0000000000000007E-2"/>
    <x v="2"/>
    <x v="3"/>
    <s v="عميل 123"/>
    <x v="42"/>
  </r>
  <r>
    <n v="10055"/>
    <s v="عمر"/>
    <d v="2026-06-21T00:00:00"/>
    <x v="14"/>
    <x v="4"/>
    <x v="4"/>
    <x v="7"/>
    <x v="0"/>
    <x v="14"/>
    <n v="0.03"/>
    <x v="2"/>
    <x v="0"/>
    <s v="عميل 71"/>
    <x v="43"/>
  </r>
  <r>
    <n v="10056"/>
    <s v="مؤمن"/>
    <d v="2026-02-02T00:00:00"/>
    <x v="3"/>
    <x v="1"/>
    <x v="2"/>
    <x v="2"/>
    <x v="8"/>
    <x v="3"/>
    <n v="0.15"/>
    <x v="1"/>
    <x v="3"/>
    <s v="عميل 170"/>
    <x v="44"/>
  </r>
  <r>
    <n v="10057"/>
    <s v="علي"/>
    <d v="2026-07-19T00:00:00"/>
    <x v="7"/>
    <x v="0"/>
    <x v="4"/>
    <x v="20"/>
    <x v="9"/>
    <x v="7"/>
    <n v="0.03"/>
    <x v="0"/>
    <x v="3"/>
    <s v="عميل 245"/>
    <x v="31"/>
  </r>
  <r>
    <n v="10058"/>
    <s v="مصطفى"/>
    <d v="2026-10-07T00:00:00"/>
    <x v="1"/>
    <x v="1"/>
    <x v="3"/>
    <x v="17"/>
    <x v="7"/>
    <x v="1"/>
    <n v="7.0000000000000007E-2"/>
    <x v="3"/>
    <x v="3"/>
    <s v="عميل 113"/>
    <x v="45"/>
  </r>
  <r>
    <n v="10059"/>
    <s v="محمود"/>
    <d v="2026-12-09T00:00:00"/>
    <x v="14"/>
    <x v="4"/>
    <x v="6"/>
    <x v="14"/>
    <x v="9"/>
    <x v="14"/>
    <n v="7.0000000000000007E-2"/>
    <x v="1"/>
    <x v="1"/>
    <s v="عميل 240"/>
    <x v="32"/>
  </r>
  <r>
    <n v="10060"/>
    <s v="حسن"/>
    <d v="2026-12-06T00:00:00"/>
    <x v="11"/>
    <x v="5"/>
    <x v="5"/>
    <x v="9"/>
    <x v="7"/>
    <x v="11"/>
    <n v="0.1"/>
    <x v="0"/>
    <x v="0"/>
    <s v="عميل 220"/>
    <x v="24"/>
  </r>
  <r>
    <n v="10061"/>
    <s v="علي"/>
    <d v="2026-06-17T00:00:00"/>
    <x v="3"/>
    <x v="1"/>
    <x v="4"/>
    <x v="7"/>
    <x v="9"/>
    <x v="3"/>
    <n v="0.05"/>
    <x v="3"/>
    <x v="3"/>
    <s v="عميل 168"/>
    <x v="46"/>
  </r>
  <r>
    <n v="10062"/>
    <s v="محمد"/>
    <d v="2026-08-29T00:00:00"/>
    <x v="9"/>
    <x v="4"/>
    <x v="6"/>
    <x v="14"/>
    <x v="7"/>
    <x v="9"/>
    <n v="0.05"/>
    <x v="0"/>
    <x v="0"/>
    <s v="عميل 180"/>
    <x v="12"/>
  </r>
  <r>
    <n v="10063"/>
    <s v="مؤمن"/>
    <d v="2026-01-11T00:00:00"/>
    <x v="5"/>
    <x v="4"/>
    <x v="0"/>
    <x v="0"/>
    <x v="9"/>
    <x v="5"/>
    <n v="0.03"/>
    <x v="3"/>
    <x v="1"/>
    <s v="عميل 65"/>
    <x v="18"/>
  </r>
  <r>
    <n v="10064"/>
    <s v="عمر"/>
    <d v="2026-07-08T00:00:00"/>
    <x v="6"/>
    <x v="2"/>
    <x v="0"/>
    <x v="16"/>
    <x v="6"/>
    <x v="6"/>
    <n v="0.15"/>
    <x v="3"/>
    <x v="0"/>
    <s v="عميل 84"/>
    <x v="47"/>
  </r>
  <r>
    <n v="10065"/>
    <s v="علي"/>
    <d v="2026-07-23T00:00:00"/>
    <x v="14"/>
    <x v="4"/>
    <x v="0"/>
    <x v="0"/>
    <x v="0"/>
    <x v="14"/>
    <n v="0.1"/>
    <x v="3"/>
    <x v="0"/>
    <s v="عميل 125"/>
    <x v="43"/>
  </r>
  <r>
    <n v="10066"/>
    <s v="حسن"/>
    <d v="2026-01-22T00:00:00"/>
    <x v="13"/>
    <x v="1"/>
    <x v="7"/>
    <x v="19"/>
    <x v="2"/>
    <x v="13"/>
    <n v="0"/>
    <x v="2"/>
    <x v="3"/>
    <s v="عميل 190"/>
    <x v="48"/>
  </r>
  <r>
    <n v="10067"/>
    <s v="محمد"/>
    <d v="2026-08-10T00:00:00"/>
    <x v="13"/>
    <x v="1"/>
    <x v="3"/>
    <x v="4"/>
    <x v="7"/>
    <x v="13"/>
    <n v="7.0000000000000007E-2"/>
    <x v="2"/>
    <x v="3"/>
    <s v="عميل 79"/>
    <x v="49"/>
  </r>
  <r>
    <n v="10068"/>
    <s v="كريم"/>
    <d v="2026-08-27T00:00:00"/>
    <x v="2"/>
    <x v="2"/>
    <x v="5"/>
    <x v="21"/>
    <x v="2"/>
    <x v="2"/>
    <n v="0.1"/>
    <x v="1"/>
    <x v="2"/>
    <s v="عميل 166"/>
    <x v="2"/>
  </r>
  <r>
    <n v="10069"/>
    <s v="مؤمن"/>
    <d v="2026-08-26T00:00:00"/>
    <x v="8"/>
    <x v="4"/>
    <x v="2"/>
    <x v="5"/>
    <x v="0"/>
    <x v="8"/>
    <n v="7.0000000000000007E-2"/>
    <x v="1"/>
    <x v="2"/>
    <s v="عميل 15"/>
    <x v="50"/>
  </r>
  <r>
    <n v="10070"/>
    <s v="محمود"/>
    <d v="2026-05-13T00:00:00"/>
    <x v="6"/>
    <x v="2"/>
    <x v="3"/>
    <x v="4"/>
    <x v="6"/>
    <x v="6"/>
    <n v="0.03"/>
    <x v="2"/>
    <x v="2"/>
    <s v="عميل 142"/>
    <x v="47"/>
  </r>
  <r>
    <n v="10071"/>
    <s v="علي"/>
    <d v="2026-09-08T00:00:00"/>
    <x v="7"/>
    <x v="0"/>
    <x v="1"/>
    <x v="10"/>
    <x v="3"/>
    <x v="7"/>
    <n v="0.03"/>
    <x v="3"/>
    <x v="3"/>
    <s v="عميل 252"/>
    <x v="51"/>
  </r>
  <r>
    <n v="10072"/>
    <s v="علي"/>
    <d v="2026-12-21T00:00:00"/>
    <x v="6"/>
    <x v="2"/>
    <x v="1"/>
    <x v="1"/>
    <x v="0"/>
    <x v="6"/>
    <n v="0.03"/>
    <x v="3"/>
    <x v="2"/>
    <s v="عميل 298"/>
    <x v="52"/>
  </r>
  <r>
    <n v="10073"/>
    <s v="علي"/>
    <d v="2026-10-09T00:00:00"/>
    <x v="9"/>
    <x v="4"/>
    <x v="4"/>
    <x v="11"/>
    <x v="4"/>
    <x v="9"/>
    <n v="0.05"/>
    <x v="2"/>
    <x v="2"/>
    <s v="عميل 233"/>
    <x v="53"/>
  </r>
  <r>
    <n v="10074"/>
    <s v="مؤمن"/>
    <d v="2026-06-11T00:00:00"/>
    <x v="14"/>
    <x v="4"/>
    <x v="7"/>
    <x v="15"/>
    <x v="1"/>
    <x v="14"/>
    <n v="0"/>
    <x v="0"/>
    <x v="1"/>
    <s v="عميل 99"/>
    <x v="54"/>
  </r>
  <r>
    <n v="10075"/>
    <s v="حسن"/>
    <d v="2026-05-25T00:00:00"/>
    <x v="5"/>
    <x v="4"/>
    <x v="4"/>
    <x v="20"/>
    <x v="2"/>
    <x v="5"/>
    <n v="0.1"/>
    <x v="0"/>
    <x v="1"/>
    <s v="عميل 152"/>
    <x v="15"/>
  </r>
  <r>
    <n v="10076"/>
    <s v="مصطفى"/>
    <d v="2026-03-06T00:00:00"/>
    <x v="5"/>
    <x v="4"/>
    <x v="3"/>
    <x v="4"/>
    <x v="0"/>
    <x v="5"/>
    <n v="0"/>
    <x v="2"/>
    <x v="0"/>
    <s v="عميل 28"/>
    <x v="55"/>
  </r>
  <r>
    <n v="10077"/>
    <s v="كريم"/>
    <d v="2026-02-22T00:00:00"/>
    <x v="7"/>
    <x v="0"/>
    <x v="7"/>
    <x v="19"/>
    <x v="8"/>
    <x v="7"/>
    <n v="0.15"/>
    <x v="0"/>
    <x v="2"/>
    <s v="عميل 241"/>
    <x v="56"/>
  </r>
  <r>
    <n v="10078"/>
    <s v="عمر"/>
    <d v="2026-09-02T00:00:00"/>
    <x v="6"/>
    <x v="2"/>
    <x v="4"/>
    <x v="20"/>
    <x v="8"/>
    <x v="6"/>
    <n v="0"/>
    <x v="0"/>
    <x v="0"/>
    <s v="عميل 206"/>
    <x v="57"/>
  </r>
  <r>
    <n v="10079"/>
    <s v="حسن"/>
    <d v="2026-06-05T00:00:00"/>
    <x v="6"/>
    <x v="2"/>
    <x v="0"/>
    <x v="0"/>
    <x v="8"/>
    <x v="6"/>
    <n v="0.03"/>
    <x v="0"/>
    <x v="1"/>
    <s v="عميل 61"/>
    <x v="57"/>
  </r>
  <r>
    <n v="10080"/>
    <s v="مؤمن"/>
    <d v="2026-09-25T00:00:00"/>
    <x v="7"/>
    <x v="0"/>
    <x v="6"/>
    <x v="22"/>
    <x v="2"/>
    <x v="7"/>
    <n v="0.1"/>
    <x v="1"/>
    <x v="3"/>
    <s v="عميل 227"/>
    <x v="46"/>
  </r>
  <r>
    <n v="10081"/>
    <s v="أحمد"/>
    <d v="2026-11-09T00:00:00"/>
    <x v="14"/>
    <x v="4"/>
    <x v="6"/>
    <x v="14"/>
    <x v="2"/>
    <x v="14"/>
    <n v="0.1"/>
    <x v="0"/>
    <x v="1"/>
    <s v="عميل 109"/>
    <x v="58"/>
  </r>
  <r>
    <n v="10082"/>
    <s v="مصطفى"/>
    <d v="2026-02-08T00:00:00"/>
    <x v="14"/>
    <x v="4"/>
    <x v="0"/>
    <x v="16"/>
    <x v="1"/>
    <x v="14"/>
    <n v="0.03"/>
    <x v="3"/>
    <x v="0"/>
    <s v="عميل 210"/>
    <x v="54"/>
  </r>
  <r>
    <n v="10083"/>
    <s v="عمر"/>
    <d v="2026-12-28T00:00:00"/>
    <x v="6"/>
    <x v="2"/>
    <x v="4"/>
    <x v="20"/>
    <x v="9"/>
    <x v="6"/>
    <n v="0.03"/>
    <x v="2"/>
    <x v="3"/>
    <s v="عميل 37"/>
    <x v="36"/>
  </r>
  <r>
    <n v="10084"/>
    <s v="مؤمن"/>
    <d v="2026-08-06T00:00:00"/>
    <x v="0"/>
    <x v="0"/>
    <x v="2"/>
    <x v="2"/>
    <x v="2"/>
    <x v="0"/>
    <n v="0.15"/>
    <x v="0"/>
    <x v="1"/>
    <s v="عميل 77"/>
    <x v="11"/>
  </r>
  <r>
    <n v="10085"/>
    <s v="يوسف"/>
    <d v="2026-06-07T00:00:00"/>
    <x v="11"/>
    <x v="5"/>
    <x v="7"/>
    <x v="18"/>
    <x v="3"/>
    <x v="11"/>
    <n v="0"/>
    <x v="2"/>
    <x v="3"/>
    <s v="عميل 64"/>
    <x v="59"/>
  </r>
  <r>
    <n v="10086"/>
    <s v="مصطفى"/>
    <d v="2026-10-04T00:00:00"/>
    <x v="6"/>
    <x v="2"/>
    <x v="7"/>
    <x v="19"/>
    <x v="7"/>
    <x v="6"/>
    <n v="0.05"/>
    <x v="1"/>
    <x v="3"/>
    <s v="عميل 42"/>
    <x v="60"/>
  </r>
  <r>
    <n v="10087"/>
    <s v="عمر"/>
    <d v="2026-01-14T00:00:00"/>
    <x v="12"/>
    <x v="0"/>
    <x v="1"/>
    <x v="3"/>
    <x v="5"/>
    <x v="12"/>
    <n v="0.1"/>
    <x v="0"/>
    <x v="1"/>
    <s v="عميل 295"/>
    <x v="61"/>
  </r>
  <r>
    <n v="10088"/>
    <s v="يوسف"/>
    <d v="2026-08-29T00:00:00"/>
    <x v="12"/>
    <x v="0"/>
    <x v="1"/>
    <x v="6"/>
    <x v="2"/>
    <x v="12"/>
    <n v="0"/>
    <x v="1"/>
    <x v="2"/>
    <s v="عميل 93"/>
    <x v="62"/>
  </r>
  <r>
    <n v="10089"/>
    <s v="كريم"/>
    <d v="2026-06-28T00:00:00"/>
    <x v="12"/>
    <x v="0"/>
    <x v="6"/>
    <x v="22"/>
    <x v="6"/>
    <x v="12"/>
    <n v="0"/>
    <x v="1"/>
    <x v="2"/>
    <s v="عميل 165"/>
    <x v="63"/>
  </r>
  <r>
    <n v="10090"/>
    <s v="كريم"/>
    <d v="2026-05-28T00:00:00"/>
    <x v="0"/>
    <x v="0"/>
    <x v="0"/>
    <x v="16"/>
    <x v="5"/>
    <x v="0"/>
    <n v="7.0000000000000007E-2"/>
    <x v="1"/>
    <x v="0"/>
    <s v="عميل 233"/>
    <x v="28"/>
  </r>
  <r>
    <n v="10091"/>
    <s v="علي"/>
    <d v="2026-09-21T00:00:00"/>
    <x v="13"/>
    <x v="1"/>
    <x v="3"/>
    <x v="17"/>
    <x v="5"/>
    <x v="13"/>
    <n v="0"/>
    <x v="0"/>
    <x v="3"/>
    <s v="عميل 212"/>
    <x v="33"/>
  </r>
  <r>
    <n v="10092"/>
    <s v="كريم"/>
    <d v="2026-11-17T00:00:00"/>
    <x v="1"/>
    <x v="1"/>
    <x v="2"/>
    <x v="12"/>
    <x v="5"/>
    <x v="1"/>
    <n v="0.1"/>
    <x v="1"/>
    <x v="0"/>
    <s v="عميل 105"/>
    <x v="64"/>
  </r>
  <r>
    <n v="10093"/>
    <s v="كريم"/>
    <d v="2026-03-04T00:00:00"/>
    <x v="14"/>
    <x v="4"/>
    <x v="5"/>
    <x v="21"/>
    <x v="6"/>
    <x v="14"/>
    <n v="0.15"/>
    <x v="0"/>
    <x v="1"/>
    <s v="عميل 82"/>
    <x v="65"/>
  </r>
  <r>
    <n v="10094"/>
    <s v="محمد"/>
    <d v="2026-08-25T00:00:00"/>
    <x v="14"/>
    <x v="4"/>
    <x v="1"/>
    <x v="3"/>
    <x v="3"/>
    <x v="14"/>
    <n v="0.03"/>
    <x v="0"/>
    <x v="1"/>
    <s v="عميل 256"/>
    <x v="66"/>
  </r>
  <r>
    <n v="10095"/>
    <s v="كريم"/>
    <d v="2026-08-30T00:00:00"/>
    <x v="11"/>
    <x v="5"/>
    <x v="7"/>
    <x v="19"/>
    <x v="0"/>
    <x v="11"/>
    <n v="7.0000000000000007E-2"/>
    <x v="3"/>
    <x v="3"/>
    <s v="عميل 283"/>
    <x v="67"/>
  </r>
  <r>
    <n v="10096"/>
    <s v="يوسف"/>
    <d v="2026-02-05T00:00:00"/>
    <x v="3"/>
    <x v="1"/>
    <x v="6"/>
    <x v="23"/>
    <x v="2"/>
    <x v="3"/>
    <n v="0.1"/>
    <x v="2"/>
    <x v="3"/>
    <s v="عميل 175"/>
    <x v="68"/>
  </r>
  <r>
    <n v="10097"/>
    <s v="عمر"/>
    <d v="2026-10-28T00:00:00"/>
    <x v="11"/>
    <x v="5"/>
    <x v="7"/>
    <x v="18"/>
    <x v="0"/>
    <x v="11"/>
    <n v="0.15"/>
    <x v="1"/>
    <x v="1"/>
    <s v="عميل 229"/>
    <x v="67"/>
  </r>
  <r>
    <n v="10098"/>
    <s v="مصطفى"/>
    <d v="2026-07-13T00:00:00"/>
    <x v="7"/>
    <x v="0"/>
    <x v="4"/>
    <x v="20"/>
    <x v="5"/>
    <x v="7"/>
    <n v="0.1"/>
    <x v="1"/>
    <x v="2"/>
    <s v="عميل 97"/>
    <x v="69"/>
  </r>
  <r>
    <n v="10099"/>
    <s v="علي"/>
    <d v="2026-01-23T00:00:00"/>
    <x v="10"/>
    <x v="3"/>
    <x v="2"/>
    <x v="12"/>
    <x v="7"/>
    <x v="10"/>
    <n v="0.03"/>
    <x v="2"/>
    <x v="3"/>
    <s v="عميل 196"/>
    <x v="70"/>
  </r>
  <r>
    <n v="10100"/>
    <s v="مصطفى"/>
    <d v="2026-10-30T00:00:00"/>
    <x v="2"/>
    <x v="2"/>
    <x v="5"/>
    <x v="8"/>
    <x v="9"/>
    <x v="2"/>
    <n v="0.03"/>
    <x v="2"/>
    <x v="0"/>
    <s v="عميل 226"/>
    <x v="41"/>
  </r>
  <r>
    <n v="10101"/>
    <s v="يوسف"/>
    <d v="2026-02-08T00:00:00"/>
    <x v="13"/>
    <x v="1"/>
    <x v="4"/>
    <x v="7"/>
    <x v="8"/>
    <x v="13"/>
    <n v="7.0000000000000007E-2"/>
    <x v="1"/>
    <x v="2"/>
    <s v="عميل 174"/>
    <x v="71"/>
  </r>
  <r>
    <n v="10102"/>
    <s v="مصطفى"/>
    <d v="2026-07-14T00:00:00"/>
    <x v="12"/>
    <x v="0"/>
    <x v="6"/>
    <x v="22"/>
    <x v="3"/>
    <x v="12"/>
    <n v="0.05"/>
    <x v="2"/>
    <x v="3"/>
    <s v="عميل 278"/>
    <x v="38"/>
  </r>
  <r>
    <n v="10103"/>
    <s v="محمد"/>
    <d v="2026-08-11T00:00:00"/>
    <x v="1"/>
    <x v="1"/>
    <x v="0"/>
    <x v="16"/>
    <x v="0"/>
    <x v="1"/>
    <n v="0.03"/>
    <x v="0"/>
    <x v="0"/>
    <s v="عميل 228"/>
    <x v="72"/>
  </r>
  <r>
    <n v="10104"/>
    <s v="أحمد"/>
    <d v="2026-05-31T00:00:00"/>
    <x v="3"/>
    <x v="1"/>
    <x v="7"/>
    <x v="18"/>
    <x v="9"/>
    <x v="3"/>
    <n v="0.05"/>
    <x v="2"/>
    <x v="2"/>
    <s v="عميل 221"/>
    <x v="46"/>
  </r>
  <r>
    <n v="10105"/>
    <s v="يوسف"/>
    <d v="2026-03-29T00:00:00"/>
    <x v="3"/>
    <x v="1"/>
    <x v="2"/>
    <x v="12"/>
    <x v="7"/>
    <x v="3"/>
    <n v="0.1"/>
    <x v="3"/>
    <x v="0"/>
    <s v="عميل 196"/>
    <x v="73"/>
  </r>
  <r>
    <n v="10106"/>
    <s v="مؤمن"/>
    <d v="2026-08-25T00:00:00"/>
    <x v="12"/>
    <x v="0"/>
    <x v="2"/>
    <x v="2"/>
    <x v="2"/>
    <x v="12"/>
    <n v="0.03"/>
    <x v="2"/>
    <x v="3"/>
    <s v="عميل 131"/>
    <x v="62"/>
  </r>
  <r>
    <n v="10107"/>
    <s v="مصطفى"/>
    <d v="2026-03-22T00:00:00"/>
    <x v="0"/>
    <x v="0"/>
    <x v="1"/>
    <x v="3"/>
    <x v="0"/>
    <x v="0"/>
    <n v="0.15"/>
    <x v="0"/>
    <x v="3"/>
    <s v="عميل 177"/>
    <x v="0"/>
  </r>
  <r>
    <n v="10108"/>
    <s v="عمر"/>
    <d v="2026-08-22T00:00:00"/>
    <x v="12"/>
    <x v="0"/>
    <x v="7"/>
    <x v="19"/>
    <x v="7"/>
    <x v="12"/>
    <n v="0.15"/>
    <x v="2"/>
    <x v="1"/>
    <s v="عميل 197"/>
    <x v="26"/>
  </r>
  <r>
    <n v="10109"/>
    <s v="حسن"/>
    <d v="2026-07-03T00:00:00"/>
    <x v="8"/>
    <x v="4"/>
    <x v="4"/>
    <x v="7"/>
    <x v="1"/>
    <x v="8"/>
    <n v="7.0000000000000007E-2"/>
    <x v="2"/>
    <x v="2"/>
    <s v="عميل 12"/>
    <x v="23"/>
  </r>
  <r>
    <n v="10110"/>
    <s v="أحمد"/>
    <d v="2026-11-07T00:00:00"/>
    <x v="8"/>
    <x v="4"/>
    <x v="6"/>
    <x v="14"/>
    <x v="9"/>
    <x v="8"/>
    <n v="0.1"/>
    <x v="1"/>
    <x v="2"/>
    <s v="عميل 118"/>
    <x v="74"/>
  </r>
  <r>
    <n v="10111"/>
    <s v="عمر"/>
    <d v="2026-12-14T00:00:00"/>
    <x v="12"/>
    <x v="0"/>
    <x v="3"/>
    <x v="4"/>
    <x v="1"/>
    <x v="12"/>
    <n v="0.1"/>
    <x v="3"/>
    <x v="0"/>
    <s v="عميل 21"/>
    <x v="75"/>
  </r>
  <r>
    <n v="10112"/>
    <s v="يوسف"/>
    <d v="2026-02-16T00:00:00"/>
    <x v="14"/>
    <x v="4"/>
    <x v="4"/>
    <x v="7"/>
    <x v="2"/>
    <x v="14"/>
    <n v="0.05"/>
    <x v="2"/>
    <x v="2"/>
    <s v="عميل 213"/>
    <x v="58"/>
  </r>
  <r>
    <n v="10113"/>
    <s v="مصطفى"/>
    <d v="2026-09-14T00:00:00"/>
    <x v="3"/>
    <x v="1"/>
    <x v="2"/>
    <x v="5"/>
    <x v="4"/>
    <x v="3"/>
    <n v="0.05"/>
    <x v="2"/>
    <x v="1"/>
    <s v="عميل 132"/>
    <x v="76"/>
  </r>
  <r>
    <n v="10114"/>
    <s v="كريم"/>
    <d v="2026-02-08T00:00:00"/>
    <x v="11"/>
    <x v="5"/>
    <x v="4"/>
    <x v="20"/>
    <x v="5"/>
    <x v="11"/>
    <n v="0"/>
    <x v="3"/>
    <x v="1"/>
    <s v="عميل 204"/>
    <x v="77"/>
  </r>
  <r>
    <n v="10115"/>
    <s v="عمر"/>
    <d v="2026-10-02T00:00:00"/>
    <x v="8"/>
    <x v="4"/>
    <x v="3"/>
    <x v="4"/>
    <x v="7"/>
    <x v="8"/>
    <n v="0"/>
    <x v="0"/>
    <x v="3"/>
    <s v="عميل 189"/>
    <x v="78"/>
  </r>
  <r>
    <n v="10116"/>
    <s v="محمود"/>
    <d v="2026-02-25T00:00:00"/>
    <x v="0"/>
    <x v="0"/>
    <x v="7"/>
    <x v="19"/>
    <x v="7"/>
    <x v="0"/>
    <n v="0.15"/>
    <x v="3"/>
    <x v="3"/>
    <s v="عميل 13"/>
    <x v="79"/>
  </r>
  <r>
    <n v="10117"/>
    <s v="محمد"/>
    <d v="2026-11-22T00:00:00"/>
    <x v="12"/>
    <x v="0"/>
    <x v="3"/>
    <x v="24"/>
    <x v="1"/>
    <x v="12"/>
    <n v="0.15"/>
    <x v="1"/>
    <x v="2"/>
    <s v="عميل 210"/>
    <x v="75"/>
  </r>
  <r>
    <n v="10118"/>
    <s v="كريم"/>
    <d v="2026-03-01T00:00:00"/>
    <x v="13"/>
    <x v="1"/>
    <x v="5"/>
    <x v="9"/>
    <x v="9"/>
    <x v="13"/>
    <n v="0.05"/>
    <x v="0"/>
    <x v="1"/>
    <s v="عميل 276"/>
    <x v="80"/>
  </r>
  <r>
    <n v="10119"/>
    <s v="مصطفى"/>
    <d v="2026-08-03T00:00:00"/>
    <x v="3"/>
    <x v="1"/>
    <x v="6"/>
    <x v="14"/>
    <x v="5"/>
    <x v="3"/>
    <n v="0.15"/>
    <x v="3"/>
    <x v="3"/>
    <s v="عميل 51"/>
    <x v="81"/>
  </r>
  <r>
    <n v="10120"/>
    <s v="أحمد"/>
    <d v="2026-12-20T00:00:00"/>
    <x v="8"/>
    <x v="4"/>
    <x v="4"/>
    <x v="11"/>
    <x v="7"/>
    <x v="8"/>
    <n v="0.05"/>
    <x v="2"/>
    <x v="1"/>
    <s v="عميل 228"/>
    <x v="78"/>
  </r>
  <r>
    <n v="10121"/>
    <s v="محمود"/>
    <d v="2026-10-06T00:00:00"/>
    <x v="6"/>
    <x v="2"/>
    <x v="2"/>
    <x v="2"/>
    <x v="3"/>
    <x v="6"/>
    <n v="0.15"/>
    <x v="2"/>
    <x v="0"/>
    <s v="عميل 204"/>
    <x v="14"/>
  </r>
  <r>
    <n v="10122"/>
    <s v="مؤمن"/>
    <d v="2026-11-25T00:00:00"/>
    <x v="14"/>
    <x v="4"/>
    <x v="2"/>
    <x v="5"/>
    <x v="6"/>
    <x v="14"/>
    <n v="0"/>
    <x v="0"/>
    <x v="0"/>
    <s v="عميل 171"/>
    <x v="65"/>
  </r>
  <r>
    <n v="10123"/>
    <s v="مؤمن"/>
    <d v="2026-10-28T00:00:00"/>
    <x v="5"/>
    <x v="4"/>
    <x v="5"/>
    <x v="25"/>
    <x v="3"/>
    <x v="5"/>
    <n v="0.1"/>
    <x v="3"/>
    <x v="1"/>
    <s v="عميل 169"/>
    <x v="82"/>
  </r>
  <r>
    <n v="10124"/>
    <s v="يوسف"/>
    <d v="2026-10-04T00:00:00"/>
    <x v="4"/>
    <x v="3"/>
    <x v="5"/>
    <x v="9"/>
    <x v="0"/>
    <x v="4"/>
    <n v="0.03"/>
    <x v="2"/>
    <x v="1"/>
    <s v="عميل 57"/>
    <x v="17"/>
  </r>
  <r>
    <n v="10125"/>
    <s v="مؤمن"/>
    <d v="2026-10-29T00:00:00"/>
    <x v="0"/>
    <x v="0"/>
    <x v="1"/>
    <x v="10"/>
    <x v="9"/>
    <x v="0"/>
    <n v="0.05"/>
    <x v="2"/>
    <x v="0"/>
    <s v="عميل 90"/>
    <x v="83"/>
  </r>
  <r>
    <n v="10126"/>
    <s v="محمد"/>
    <d v="2026-02-02T00:00:00"/>
    <x v="14"/>
    <x v="4"/>
    <x v="1"/>
    <x v="10"/>
    <x v="7"/>
    <x v="14"/>
    <n v="0.1"/>
    <x v="1"/>
    <x v="3"/>
    <s v="عميل 186"/>
    <x v="84"/>
  </r>
  <r>
    <n v="10127"/>
    <s v="حسن"/>
    <d v="2026-01-23T00:00:00"/>
    <x v="7"/>
    <x v="0"/>
    <x v="0"/>
    <x v="26"/>
    <x v="4"/>
    <x v="7"/>
    <n v="0.03"/>
    <x v="2"/>
    <x v="3"/>
    <s v="عميل 16"/>
    <x v="85"/>
  </r>
  <r>
    <n v="10128"/>
    <s v="محمد"/>
    <d v="2026-09-09T00:00:00"/>
    <x v="1"/>
    <x v="1"/>
    <x v="4"/>
    <x v="20"/>
    <x v="7"/>
    <x v="1"/>
    <n v="0.15"/>
    <x v="1"/>
    <x v="0"/>
    <s v="عميل 42"/>
    <x v="45"/>
  </r>
  <r>
    <n v="10129"/>
    <s v="حسن"/>
    <d v="2026-11-21T00:00:00"/>
    <x v="9"/>
    <x v="4"/>
    <x v="5"/>
    <x v="9"/>
    <x v="8"/>
    <x v="9"/>
    <n v="0.05"/>
    <x v="2"/>
    <x v="3"/>
    <s v="عميل 272"/>
    <x v="86"/>
  </r>
  <r>
    <n v="10130"/>
    <s v="محمد"/>
    <d v="2026-12-26T00:00:00"/>
    <x v="14"/>
    <x v="4"/>
    <x v="4"/>
    <x v="11"/>
    <x v="2"/>
    <x v="14"/>
    <n v="7.0000000000000007E-2"/>
    <x v="0"/>
    <x v="1"/>
    <s v="عميل 221"/>
    <x v="58"/>
  </r>
  <r>
    <n v="10131"/>
    <s v="علي"/>
    <d v="2026-08-01T00:00:00"/>
    <x v="6"/>
    <x v="2"/>
    <x v="2"/>
    <x v="2"/>
    <x v="5"/>
    <x v="6"/>
    <n v="7.0000000000000007E-2"/>
    <x v="0"/>
    <x v="2"/>
    <s v="عميل 219"/>
    <x v="6"/>
  </r>
  <r>
    <n v="10132"/>
    <s v="كريم"/>
    <d v="2026-02-04T00:00:00"/>
    <x v="9"/>
    <x v="4"/>
    <x v="7"/>
    <x v="15"/>
    <x v="8"/>
    <x v="9"/>
    <n v="0.15"/>
    <x v="0"/>
    <x v="0"/>
    <s v="عميل 48"/>
    <x v="86"/>
  </r>
  <r>
    <n v="10133"/>
    <s v="أحمد"/>
    <d v="2026-10-28T00:00:00"/>
    <x v="2"/>
    <x v="2"/>
    <x v="0"/>
    <x v="13"/>
    <x v="8"/>
    <x v="2"/>
    <n v="0.1"/>
    <x v="2"/>
    <x v="0"/>
    <s v="عميل 211"/>
    <x v="10"/>
  </r>
  <r>
    <n v="10134"/>
    <s v="حسن"/>
    <d v="2026-06-09T00:00:00"/>
    <x v="9"/>
    <x v="4"/>
    <x v="6"/>
    <x v="22"/>
    <x v="9"/>
    <x v="9"/>
    <n v="0.05"/>
    <x v="2"/>
    <x v="0"/>
    <s v="عميل 296"/>
    <x v="54"/>
  </r>
  <r>
    <n v="10135"/>
    <s v="محمد"/>
    <d v="2026-06-29T00:00:00"/>
    <x v="7"/>
    <x v="0"/>
    <x v="2"/>
    <x v="5"/>
    <x v="6"/>
    <x v="7"/>
    <n v="0.03"/>
    <x v="2"/>
    <x v="0"/>
    <s v="عميل 143"/>
    <x v="7"/>
  </r>
  <r>
    <n v="10136"/>
    <s v="حسن"/>
    <d v="2026-12-12T00:00:00"/>
    <x v="12"/>
    <x v="0"/>
    <x v="2"/>
    <x v="2"/>
    <x v="4"/>
    <x v="12"/>
    <n v="0.1"/>
    <x v="0"/>
    <x v="2"/>
    <s v="عميل 15"/>
    <x v="87"/>
  </r>
  <r>
    <n v="10137"/>
    <s v="محمود"/>
    <d v="2026-01-04T00:00:00"/>
    <x v="3"/>
    <x v="1"/>
    <x v="7"/>
    <x v="19"/>
    <x v="0"/>
    <x v="3"/>
    <n v="0.05"/>
    <x v="3"/>
    <x v="1"/>
    <s v="عميل 290"/>
    <x v="88"/>
  </r>
  <r>
    <n v="10138"/>
    <s v="أحمد"/>
    <d v="2026-02-16T00:00:00"/>
    <x v="0"/>
    <x v="0"/>
    <x v="6"/>
    <x v="23"/>
    <x v="8"/>
    <x v="0"/>
    <n v="0.15"/>
    <x v="3"/>
    <x v="3"/>
    <s v="عميل 215"/>
    <x v="16"/>
  </r>
  <r>
    <n v="10139"/>
    <s v="محمود"/>
    <d v="2026-10-18T00:00:00"/>
    <x v="6"/>
    <x v="2"/>
    <x v="3"/>
    <x v="4"/>
    <x v="5"/>
    <x v="6"/>
    <n v="0.05"/>
    <x v="0"/>
    <x v="0"/>
    <s v="عميل 80"/>
    <x v="6"/>
  </r>
  <r>
    <n v="10140"/>
    <s v="علي"/>
    <d v="2026-09-06T00:00:00"/>
    <x v="3"/>
    <x v="1"/>
    <x v="1"/>
    <x v="1"/>
    <x v="0"/>
    <x v="3"/>
    <n v="7.0000000000000007E-2"/>
    <x v="1"/>
    <x v="3"/>
    <s v="عميل 140"/>
    <x v="88"/>
  </r>
  <r>
    <n v="10141"/>
    <s v="عمر"/>
    <d v="2026-12-14T00:00:00"/>
    <x v="5"/>
    <x v="4"/>
    <x v="0"/>
    <x v="13"/>
    <x v="7"/>
    <x v="5"/>
    <n v="0"/>
    <x v="1"/>
    <x v="2"/>
    <s v="عميل 24"/>
    <x v="8"/>
  </r>
  <r>
    <n v="10142"/>
    <s v="مؤمن"/>
    <d v="2026-06-04T00:00:00"/>
    <x v="5"/>
    <x v="4"/>
    <x v="6"/>
    <x v="22"/>
    <x v="9"/>
    <x v="5"/>
    <n v="0"/>
    <x v="3"/>
    <x v="1"/>
    <s v="عميل 131"/>
    <x v="18"/>
  </r>
  <r>
    <n v="10143"/>
    <s v="علي"/>
    <d v="2026-03-31T00:00:00"/>
    <x v="14"/>
    <x v="4"/>
    <x v="3"/>
    <x v="4"/>
    <x v="9"/>
    <x v="14"/>
    <n v="7.0000000000000007E-2"/>
    <x v="3"/>
    <x v="3"/>
    <s v="عميل 273"/>
    <x v="32"/>
  </r>
  <r>
    <n v="10144"/>
    <s v="محمود"/>
    <d v="2026-02-06T00:00:00"/>
    <x v="10"/>
    <x v="3"/>
    <x v="2"/>
    <x v="12"/>
    <x v="4"/>
    <x v="10"/>
    <n v="0.15"/>
    <x v="1"/>
    <x v="0"/>
    <s v="عميل 224"/>
    <x v="37"/>
  </r>
  <r>
    <n v="10145"/>
    <s v="علي"/>
    <d v="2026-10-21T00:00:00"/>
    <x v="1"/>
    <x v="1"/>
    <x v="4"/>
    <x v="7"/>
    <x v="5"/>
    <x v="1"/>
    <n v="0.1"/>
    <x v="1"/>
    <x v="3"/>
    <s v="عميل 149"/>
    <x v="64"/>
  </r>
  <r>
    <n v="10146"/>
    <s v="حسن"/>
    <d v="2026-08-24T00:00:00"/>
    <x v="13"/>
    <x v="1"/>
    <x v="6"/>
    <x v="23"/>
    <x v="5"/>
    <x v="13"/>
    <n v="0.03"/>
    <x v="2"/>
    <x v="0"/>
    <s v="عميل 224"/>
    <x v="33"/>
  </r>
  <r>
    <n v="10147"/>
    <s v="علي"/>
    <d v="2026-09-26T00:00:00"/>
    <x v="8"/>
    <x v="4"/>
    <x v="0"/>
    <x v="16"/>
    <x v="7"/>
    <x v="8"/>
    <n v="0.1"/>
    <x v="0"/>
    <x v="3"/>
    <s v="عميل 159"/>
    <x v="78"/>
  </r>
  <r>
    <n v="10148"/>
    <s v="محمد"/>
    <d v="2026-09-19T00:00:00"/>
    <x v="10"/>
    <x v="3"/>
    <x v="3"/>
    <x v="4"/>
    <x v="5"/>
    <x v="10"/>
    <n v="0.03"/>
    <x v="0"/>
    <x v="1"/>
    <s v="عميل 179"/>
    <x v="89"/>
  </r>
  <r>
    <n v="10149"/>
    <s v="عمر"/>
    <d v="2026-04-12T00:00:00"/>
    <x v="9"/>
    <x v="4"/>
    <x v="5"/>
    <x v="25"/>
    <x v="3"/>
    <x v="9"/>
    <n v="0.03"/>
    <x v="3"/>
    <x v="1"/>
    <s v="عميل 39"/>
    <x v="65"/>
  </r>
  <r>
    <n v="10150"/>
    <s v="كريم"/>
    <d v="2026-12-15T00:00:00"/>
    <x v="3"/>
    <x v="1"/>
    <x v="4"/>
    <x v="20"/>
    <x v="2"/>
    <x v="3"/>
    <n v="0.1"/>
    <x v="2"/>
    <x v="2"/>
    <s v="عميل 78"/>
    <x v="68"/>
  </r>
  <r>
    <n v="10151"/>
    <s v="عمر"/>
    <d v="2026-05-21T00:00:00"/>
    <x v="6"/>
    <x v="2"/>
    <x v="0"/>
    <x v="26"/>
    <x v="6"/>
    <x v="6"/>
    <n v="0.15"/>
    <x v="0"/>
    <x v="2"/>
    <s v="عميل 260"/>
    <x v="47"/>
  </r>
  <r>
    <n v="10152"/>
    <s v="أحمد"/>
    <d v="2026-07-08T00:00:00"/>
    <x v="13"/>
    <x v="1"/>
    <x v="7"/>
    <x v="15"/>
    <x v="6"/>
    <x v="13"/>
    <n v="0"/>
    <x v="2"/>
    <x v="0"/>
    <s v="عميل 47"/>
    <x v="73"/>
  </r>
  <r>
    <n v="10153"/>
    <s v="أحمد"/>
    <d v="2026-08-19T00:00:00"/>
    <x v="12"/>
    <x v="0"/>
    <x v="6"/>
    <x v="14"/>
    <x v="2"/>
    <x v="12"/>
    <n v="0.1"/>
    <x v="3"/>
    <x v="2"/>
    <s v="عميل 244"/>
    <x v="62"/>
  </r>
  <r>
    <n v="10154"/>
    <s v="محمود"/>
    <d v="2026-02-13T00:00:00"/>
    <x v="7"/>
    <x v="0"/>
    <x v="5"/>
    <x v="9"/>
    <x v="6"/>
    <x v="7"/>
    <n v="0"/>
    <x v="3"/>
    <x v="0"/>
    <s v="عميل 127"/>
    <x v="7"/>
  </r>
  <r>
    <n v="10155"/>
    <s v="حسن"/>
    <d v="2026-03-23T00:00:00"/>
    <x v="10"/>
    <x v="3"/>
    <x v="4"/>
    <x v="20"/>
    <x v="4"/>
    <x v="10"/>
    <n v="0.1"/>
    <x v="2"/>
    <x v="2"/>
    <s v="عميل 145"/>
    <x v="37"/>
  </r>
  <r>
    <n v="10156"/>
    <s v="محمود"/>
    <d v="2026-02-03T00:00:00"/>
    <x v="2"/>
    <x v="2"/>
    <x v="6"/>
    <x v="14"/>
    <x v="2"/>
    <x v="2"/>
    <n v="0"/>
    <x v="2"/>
    <x v="0"/>
    <s v="عميل 286"/>
    <x v="2"/>
  </r>
  <r>
    <n v="10157"/>
    <s v="حسن"/>
    <d v="2026-03-18T00:00:00"/>
    <x v="0"/>
    <x v="0"/>
    <x v="6"/>
    <x v="14"/>
    <x v="0"/>
    <x v="0"/>
    <n v="0.15"/>
    <x v="2"/>
    <x v="0"/>
    <s v="عميل 299"/>
    <x v="0"/>
  </r>
  <r>
    <n v="10158"/>
    <s v="علي"/>
    <d v="2026-03-08T00:00:00"/>
    <x v="0"/>
    <x v="0"/>
    <x v="5"/>
    <x v="21"/>
    <x v="0"/>
    <x v="0"/>
    <n v="0.15"/>
    <x v="0"/>
    <x v="2"/>
    <s v="عميل 287"/>
    <x v="0"/>
  </r>
  <r>
    <n v="10159"/>
    <s v="علي"/>
    <d v="2026-09-18T00:00:00"/>
    <x v="2"/>
    <x v="2"/>
    <x v="3"/>
    <x v="4"/>
    <x v="4"/>
    <x v="2"/>
    <n v="0"/>
    <x v="2"/>
    <x v="0"/>
    <s v="عميل 186"/>
    <x v="90"/>
  </r>
  <r>
    <n v="10160"/>
    <s v="مؤمن"/>
    <d v="2026-04-26T00:00:00"/>
    <x v="14"/>
    <x v="4"/>
    <x v="5"/>
    <x v="25"/>
    <x v="5"/>
    <x v="14"/>
    <n v="7.0000000000000007E-2"/>
    <x v="3"/>
    <x v="1"/>
    <s v="عميل 40"/>
    <x v="34"/>
  </r>
  <r>
    <n v="10161"/>
    <s v="يوسف"/>
    <d v="2026-11-02T00:00:00"/>
    <x v="14"/>
    <x v="4"/>
    <x v="0"/>
    <x v="0"/>
    <x v="5"/>
    <x v="14"/>
    <n v="0.1"/>
    <x v="1"/>
    <x v="1"/>
    <s v="عميل 84"/>
    <x v="34"/>
  </r>
  <r>
    <n v="10162"/>
    <s v="محمود"/>
    <d v="2026-12-13T00:00:00"/>
    <x v="3"/>
    <x v="1"/>
    <x v="5"/>
    <x v="8"/>
    <x v="9"/>
    <x v="3"/>
    <n v="7.0000000000000007E-2"/>
    <x v="3"/>
    <x v="3"/>
    <s v="عميل 146"/>
    <x v="46"/>
  </r>
  <r>
    <n v="10163"/>
    <s v="عمر"/>
    <d v="2026-08-29T00:00:00"/>
    <x v="4"/>
    <x v="3"/>
    <x v="4"/>
    <x v="7"/>
    <x v="4"/>
    <x v="4"/>
    <n v="0.03"/>
    <x v="3"/>
    <x v="2"/>
    <s v="عميل 293"/>
    <x v="4"/>
  </r>
  <r>
    <n v="10164"/>
    <s v="مصطفى"/>
    <d v="2026-08-03T00:00:00"/>
    <x v="6"/>
    <x v="2"/>
    <x v="4"/>
    <x v="20"/>
    <x v="7"/>
    <x v="6"/>
    <n v="0.1"/>
    <x v="3"/>
    <x v="1"/>
    <s v="عميل 71"/>
    <x v="60"/>
  </r>
  <r>
    <n v="10165"/>
    <s v="مصطفى"/>
    <d v="2026-02-22T00:00:00"/>
    <x v="8"/>
    <x v="4"/>
    <x v="7"/>
    <x v="18"/>
    <x v="6"/>
    <x v="8"/>
    <n v="0.05"/>
    <x v="0"/>
    <x v="2"/>
    <s v="عميل 43"/>
    <x v="91"/>
  </r>
  <r>
    <n v="10166"/>
    <s v="يوسف"/>
    <d v="2026-08-12T00:00:00"/>
    <x v="4"/>
    <x v="3"/>
    <x v="5"/>
    <x v="21"/>
    <x v="6"/>
    <x v="4"/>
    <n v="0.1"/>
    <x v="0"/>
    <x v="1"/>
    <s v="عميل 231"/>
    <x v="18"/>
  </r>
  <r>
    <n v="10167"/>
    <s v="علي"/>
    <d v="2026-09-15T00:00:00"/>
    <x v="11"/>
    <x v="5"/>
    <x v="3"/>
    <x v="4"/>
    <x v="7"/>
    <x v="11"/>
    <n v="0"/>
    <x v="2"/>
    <x v="1"/>
    <s v="عميل 198"/>
    <x v="24"/>
  </r>
  <r>
    <n v="10168"/>
    <s v="محمد"/>
    <d v="2026-11-29T00:00:00"/>
    <x v="13"/>
    <x v="1"/>
    <x v="3"/>
    <x v="4"/>
    <x v="9"/>
    <x v="13"/>
    <n v="0.05"/>
    <x v="2"/>
    <x v="1"/>
    <s v="عميل 71"/>
    <x v="80"/>
  </r>
  <r>
    <n v="10169"/>
    <s v="كريم"/>
    <d v="2026-08-18T00:00:00"/>
    <x v="1"/>
    <x v="1"/>
    <x v="7"/>
    <x v="15"/>
    <x v="8"/>
    <x v="1"/>
    <n v="0.15"/>
    <x v="0"/>
    <x v="0"/>
    <s v="عميل 10"/>
    <x v="2"/>
  </r>
  <r>
    <n v="10170"/>
    <s v="حسن"/>
    <d v="2026-09-28T00:00:00"/>
    <x v="14"/>
    <x v="4"/>
    <x v="2"/>
    <x v="5"/>
    <x v="4"/>
    <x v="14"/>
    <n v="0.15"/>
    <x v="1"/>
    <x v="0"/>
    <s v="عميل 148"/>
    <x v="92"/>
  </r>
  <r>
    <n v="10171"/>
    <s v="علي"/>
    <d v="2026-11-24T00:00:00"/>
    <x v="5"/>
    <x v="4"/>
    <x v="7"/>
    <x v="18"/>
    <x v="9"/>
    <x v="5"/>
    <n v="0.03"/>
    <x v="1"/>
    <x v="0"/>
    <s v="عميل 57"/>
    <x v="18"/>
  </r>
  <r>
    <n v="10172"/>
    <s v="مصطفى"/>
    <d v="2026-10-22T00:00:00"/>
    <x v="8"/>
    <x v="4"/>
    <x v="4"/>
    <x v="11"/>
    <x v="4"/>
    <x v="8"/>
    <n v="0"/>
    <x v="3"/>
    <x v="1"/>
    <s v="عميل 150"/>
    <x v="12"/>
  </r>
  <r>
    <n v="10173"/>
    <s v="علي"/>
    <d v="2026-04-06T00:00:00"/>
    <x v="2"/>
    <x v="2"/>
    <x v="1"/>
    <x v="6"/>
    <x v="1"/>
    <x v="2"/>
    <n v="0.1"/>
    <x v="0"/>
    <x v="2"/>
    <s v="عميل 35"/>
    <x v="93"/>
  </r>
  <r>
    <n v="10174"/>
    <s v="علي"/>
    <d v="2026-07-11T00:00:00"/>
    <x v="7"/>
    <x v="0"/>
    <x v="1"/>
    <x v="3"/>
    <x v="6"/>
    <x v="7"/>
    <n v="0"/>
    <x v="2"/>
    <x v="0"/>
    <s v="عميل 183"/>
    <x v="7"/>
  </r>
  <r>
    <n v="10175"/>
    <s v="محمد"/>
    <d v="2026-10-25T00:00:00"/>
    <x v="4"/>
    <x v="3"/>
    <x v="0"/>
    <x v="13"/>
    <x v="1"/>
    <x v="4"/>
    <n v="0.15"/>
    <x v="2"/>
    <x v="1"/>
    <s v="عميل 23"/>
    <x v="94"/>
  </r>
  <r>
    <n v="10176"/>
    <s v="كريم"/>
    <d v="2026-12-23T00:00:00"/>
    <x v="9"/>
    <x v="4"/>
    <x v="3"/>
    <x v="24"/>
    <x v="8"/>
    <x v="9"/>
    <n v="0.15"/>
    <x v="1"/>
    <x v="1"/>
    <s v="عميل 70"/>
    <x v="86"/>
  </r>
  <r>
    <n v="10177"/>
    <s v="أحمد"/>
    <d v="2026-04-13T00:00:00"/>
    <x v="13"/>
    <x v="1"/>
    <x v="4"/>
    <x v="7"/>
    <x v="0"/>
    <x v="13"/>
    <n v="0.03"/>
    <x v="0"/>
    <x v="2"/>
    <s v="عميل 159"/>
    <x v="30"/>
  </r>
  <r>
    <n v="10178"/>
    <s v="أحمد"/>
    <d v="2026-11-28T00:00:00"/>
    <x v="7"/>
    <x v="0"/>
    <x v="6"/>
    <x v="22"/>
    <x v="6"/>
    <x v="7"/>
    <n v="0.05"/>
    <x v="3"/>
    <x v="2"/>
    <s v="عميل 183"/>
    <x v="7"/>
  </r>
  <r>
    <n v="10179"/>
    <s v="محمود"/>
    <d v="2026-08-12T00:00:00"/>
    <x v="8"/>
    <x v="4"/>
    <x v="1"/>
    <x v="6"/>
    <x v="0"/>
    <x v="8"/>
    <n v="0"/>
    <x v="1"/>
    <x v="3"/>
    <s v="عميل 198"/>
    <x v="50"/>
  </r>
  <r>
    <n v="10180"/>
    <s v="مصطفى"/>
    <d v="2026-05-17T00:00:00"/>
    <x v="9"/>
    <x v="4"/>
    <x v="5"/>
    <x v="8"/>
    <x v="6"/>
    <x v="9"/>
    <n v="0.05"/>
    <x v="0"/>
    <x v="3"/>
    <s v="عميل 41"/>
    <x v="20"/>
  </r>
  <r>
    <n v="10181"/>
    <s v="محمد"/>
    <d v="2026-06-17T00:00:00"/>
    <x v="2"/>
    <x v="2"/>
    <x v="5"/>
    <x v="21"/>
    <x v="5"/>
    <x v="2"/>
    <n v="0"/>
    <x v="2"/>
    <x v="2"/>
    <s v="عميل 229"/>
    <x v="52"/>
  </r>
  <r>
    <n v="10182"/>
    <s v="كريم"/>
    <d v="2026-01-22T00:00:00"/>
    <x v="12"/>
    <x v="0"/>
    <x v="6"/>
    <x v="23"/>
    <x v="6"/>
    <x v="12"/>
    <n v="0.05"/>
    <x v="2"/>
    <x v="3"/>
    <s v="عميل 141"/>
    <x v="63"/>
  </r>
  <r>
    <n v="10183"/>
    <s v="مصطفى"/>
    <d v="2026-12-14T00:00:00"/>
    <x v="0"/>
    <x v="0"/>
    <x v="1"/>
    <x v="1"/>
    <x v="7"/>
    <x v="0"/>
    <n v="0.05"/>
    <x v="3"/>
    <x v="0"/>
    <s v="عميل 74"/>
    <x v="79"/>
  </r>
  <r>
    <n v="10184"/>
    <s v="مؤمن"/>
    <d v="2026-11-27T00:00:00"/>
    <x v="8"/>
    <x v="4"/>
    <x v="4"/>
    <x v="7"/>
    <x v="8"/>
    <x v="8"/>
    <n v="0"/>
    <x v="2"/>
    <x v="2"/>
    <s v="عميل 197"/>
    <x v="95"/>
  </r>
  <r>
    <n v="10185"/>
    <s v="محمود"/>
    <d v="2026-08-16T00:00:00"/>
    <x v="12"/>
    <x v="0"/>
    <x v="1"/>
    <x v="10"/>
    <x v="6"/>
    <x v="12"/>
    <n v="0.05"/>
    <x v="0"/>
    <x v="1"/>
    <s v="عميل 272"/>
    <x v="63"/>
  </r>
  <r>
    <n v="10186"/>
    <s v="محمد"/>
    <d v="2026-01-14T00:00:00"/>
    <x v="9"/>
    <x v="4"/>
    <x v="6"/>
    <x v="14"/>
    <x v="0"/>
    <x v="9"/>
    <n v="0.03"/>
    <x v="3"/>
    <x v="3"/>
    <s v="عميل 266"/>
    <x v="36"/>
  </r>
  <r>
    <n v="10187"/>
    <s v="كريم"/>
    <d v="2026-04-20T00:00:00"/>
    <x v="2"/>
    <x v="2"/>
    <x v="0"/>
    <x v="13"/>
    <x v="0"/>
    <x v="2"/>
    <n v="0.15"/>
    <x v="2"/>
    <x v="3"/>
    <s v="عميل 103"/>
    <x v="9"/>
  </r>
  <r>
    <n v="10188"/>
    <s v="كريم"/>
    <d v="2026-02-14T00:00:00"/>
    <x v="13"/>
    <x v="1"/>
    <x v="5"/>
    <x v="9"/>
    <x v="6"/>
    <x v="13"/>
    <n v="0.03"/>
    <x v="2"/>
    <x v="2"/>
    <s v="عميل 34"/>
    <x v="73"/>
  </r>
  <r>
    <n v="10189"/>
    <s v="يوسف"/>
    <d v="2026-07-05T00:00:00"/>
    <x v="7"/>
    <x v="0"/>
    <x v="7"/>
    <x v="15"/>
    <x v="8"/>
    <x v="7"/>
    <n v="0.15"/>
    <x v="3"/>
    <x v="0"/>
    <s v="عميل 103"/>
    <x v="56"/>
  </r>
  <r>
    <n v="10190"/>
    <s v="محمود"/>
    <d v="2026-10-11T00:00:00"/>
    <x v="4"/>
    <x v="3"/>
    <x v="5"/>
    <x v="25"/>
    <x v="6"/>
    <x v="4"/>
    <n v="0"/>
    <x v="2"/>
    <x v="3"/>
    <s v="عميل 283"/>
    <x v="18"/>
  </r>
  <r>
    <n v="10191"/>
    <s v="كريم"/>
    <d v="2026-09-27T00:00:00"/>
    <x v="3"/>
    <x v="1"/>
    <x v="0"/>
    <x v="0"/>
    <x v="0"/>
    <x v="3"/>
    <n v="7.0000000000000007E-2"/>
    <x v="1"/>
    <x v="3"/>
    <s v="عميل 295"/>
    <x v="88"/>
  </r>
  <r>
    <n v="10192"/>
    <s v="كريم"/>
    <d v="2026-12-15T00:00:00"/>
    <x v="13"/>
    <x v="1"/>
    <x v="5"/>
    <x v="21"/>
    <x v="3"/>
    <x v="13"/>
    <n v="7.0000000000000007E-2"/>
    <x v="2"/>
    <x v="1"/>
    <s v="عميل 283"/>
    <x v="96"/>
  </r>
  <r>
    <n v="10193"/>
    <s v="أحمد"/>
    <d v="2026-03-05T00:00:00"/>
    <x v="0"/>
    <x v="0"/>
    <x v="5"/>
    <x v="25"/>
    <x v="7"/>
    <x v="0"/>
    <n v="0.1"/>
    <x v="3"/>
    <x v="2"/>
    <s v="عميل 85"/>
    <x v="79"/>
  </r>
  <r>
    <n v="10194"/>
    <s v="مصطفى"/>
    <d v="2026-05-26T00:00:00"/>
    <x v="3"/>
    <x v="1"/>
    <x v="3"/>
    <x v="24"/>
    <x v="1"/>
    <x v="3"/>
    <n v="0.05"/>
    <x v="0"/>
    <x v="2"/>
    <s v="عميل 101"/>
    <x v="22"/>
  </r>
  <r>
    <n v="10195"/>
    <s v="مصطفى"/>
    <d v="2026-02-17T00:00:00"/>
    <x v="0"/>
    <x v="0"/>
    <x v="7"/>
    <x v="18"/>
    <x v="0"/>
    <x v="0"/>
    <n v="0.1"/>
    <x v="3"/>
    <x v="1"/>
    <s v="عميل 88"/>
    <x v="0"/>
  </r>
  <r>
    <n v="10196"/>
    <s v="محمد"/>
    <d v="2026-01-24T00:00:00"/>
    <x v="0"/>
    <x v="0"/>
    <x v="3"/>
    <x v="24"/>
    <x v="9"/>
    <x v="0"/>
    <n v="0"/>
    <x v="2"/>
    <x v="1"/>
    <s v="عميل 293"/>
    <x v="83"/>
  </r>
  <r>
    <n v="10197"/>
    <s v="عمر"/>
    <d v="2026-09-05T00:00:00"/>
    <x v="2"/>
    <x v="2"/>
    <x v="1"/>
    <x v="3"/>
    <x v="4"/>
    <x v="2"/>
    <n v="0.05"/>
    <x v="3"/>
    <x v="3"/>
    <s v="عميل 153"/>
    <x v="90"/>
  </r>
  <r>
    <n v="10198"/>
    <s v="علي"/>
    <d v="2026-09-05T00:00:00"/>
    <x v="6"/>
    <x v="2"/>
    <x v="0"/>
    <x v="0"/>
    <x v="8"/>
    <x v="6"/>
    <n v="7.0000000000000007E-2"/>
    <x v="1"/>
    <x v="1"/>
    <s v="عميل 175"/>
    <x v="57"/>
  </r>
  <r>
    <n v="10199"/>
    <s v="محمود"/>
    <d v="2026-07-24T00:00:00"/>
    <x v="12"/>
    <x v="0"/>
    <x v="5"/>
    <x v="21"/>
    <x v="5"/>
    <x v="12"/>
    <n v="0.15"/>
    <x v="3"/>
    <x v="2"/>
    <s v="عميل 264"/>
    <x v="61"/>
  </r>
  <r>
    <n v="10200"/>
    <s v="محمد"/>
    <d v="2026-05-17T00:00:00"/>
    <x v="7"/>
    <x v="0"/>
    <x v="0"/>
    <x v="13"/>
    <x v="1"/>
    <x v="7"/>
    <n v="7.0000000000000007E-2"/>
    <x v="1"/>
    <x v="1"/>
    <s v="عميل 73"/>
    <x v="97"/>
  </r>
  <r>
    <n v="10201"/>
    <s v="علي"/>
    <d v="2026-05-08T00:00:00"/>
    <x v="13"/>
    <x v="1"/>
    <x v="1"/>
    <x v="6"/>
    <x v="7"/>
    <x v="13"/>
    <n v="0.1"/>
    <x v="3"/>
    <x v="2"/>
    <s v="عميل 296"/>
    <x v="49"/>
  </r>
  <r>
    <n v="10202"/>
    <s v="مصطفى"/>
    <d v="2026-08-28T00:00:00"/>
    <x v="10"/>
    <x v="3"/>
    <x v="3"/>
    <x v="4"/>
    <x v="8"/>
    <x v="10"/>
    <n v="7.0000000000000007E-2"/>
    <x v="1"/>
    <x v="2"/>
    <s v="عميل 255"/>
    <x v="98"/>
  </r>
  <r>
    <n v="10203"/>
    <s v="مؤمن"/>
    <d v="2026-04-21T00:00:00"/>
    <x v="1"/>
    <x v="1"/>
    <x v="0"/>
    <x v="26"/>
    <x v="4"/>
    <x v="1"/>
    <n v="7.0000000000000007E-2"/>
    <x v="2"/>
    <x v="0"/>
    <s v="عميل 26"/>
    <x v="25"/>
  </r>
  <r>
    <n v="10204"/>
    <s v="مصطفى"/>
    <d v="2026-01-05T00:00:00"/>
    <x v="14"/>
    <x v="4"/>
    <x v="4"/>
    <x v="11"/>
    <x v="6"/>
    <x v="14"/>
    <n v="0.05"/>
    <x v="0"/>
    <x v="3"/>
    <s v="عميل 69"/>
    <x v="65"/>
  </r>
  <r>
    <n v="10205"/>
    <s v="محمود"/>
    <d v="2026-01-24T00:00:00"/>
    <x v="11"/>
    <x v="5"/>
    <x v="7"/>
    <x v="19"/>
    <x v="5"/>
    <x v="11"/>
    <n v="7.0000000000000007E-2"/>
    <x v="1"/>
    <x v="0"/>
    <s v="عميل 292"/>
    <x v="77"/>
  </r>
  <r>
    <n v="10206"/>
    <s v="محمد"/>
    <d v="2026-07-17T00:00:00"/>
    <x v="7"/>
    <x v="0"/>
    <x v="2"/>
    <x v="2"/>
    <x v="4"/>
    <x v="7"/>
    <n v="0.05"/>
    <x v="1"/>
    <x v="2"/>
    <s v="عميل 61"/>
    <x v="85"/>
  </r>
  <r>
    <n v="10207"/>
    <s v="مصطفى"/>
    <d v="2026-07-07T00:00:00"/>
    <x v="3"/>
    <x v="1"/>
    <x v="0"/>
    <x v="26"/>
    <x v="5"/>
    <x v="3"/>
    <n v="0.05"/>
    <x v="3"/>
    <x v="1"/>
    <s v="عميل 261"/>
    <x v="81"/>
  </r>
  <r>
    <n v="10208"/>
    <s v="محمود"/>
    <d v="2026-08-31T00:00:00"/>
    <x v="2"/>
    <x v="2"/>
    <x v="1"/>
    <x v="1"/>
    <x v="9"/>
    <x v="2"/>
    <n v="0.03"/>
    <x v="1"/>
    <x v="1"/>
    <s v="عميل 264"/>
    <x v="41"/>
  </r>
  <r>
    <n v="10209"/>
    <s v="علي"/>
    <d v="2026-11-12T00:00:00"/>
    <x v="3"/>
    <x v="1"/>
    <x v="3"/>
    <x v="24"/>
    <x v="5"/>
    <x v="3"/>
    <n v="0.03"/>
    <x v="2"/>
    <x v="2"/>
    <s v="عميل 260"/>
    <x v="81"/>
  </r>
  <r>
    <n v="10210"/>
    <s v="كريم"/>
    <d v="2026-01-09T00:00:00"/>
    <x v="8"/>
    <x v="4"/>
    <x v="4"/>
    <x v="11"/>
    <x v="2"/>
    <x v="8"/>
    <n v="0.05"/>
    <x v="2"/>
    <x v="2"/>
    <s v="عميل 57"/>
    <x v="99"/>
  </r>
  <r>
    <n v="10211"/>
    <s v="كريم"/>
    <d v="2026-05-16T00:00:00"/>
    <x v="2"/>
    <x v="2"/>
    <x v="7"/>
    <x v="19"/>
    <x v="9"/>
    <x v="2"/>
    <n v="0.1"/>
    <x v="3"/>
    <x v="0"/>
    <s v="عميل 299"/>
    <x v="41"/>
  </r>
  <r>
    <n v="10212"/>
    <s v="مؤمن"/>
    <d v="2026-01-17T00:00:00"/>
    <x v="6"/>
    <x v="2"/>
    <x v="5"/>
    <x v="8"/>
    <x v="8"/>
    <x v="6"/>
    <n v="0.15"/>
    <x v="0"/>
    <x v="1"/>
    <s v="عميل 10"/>
    <x v="57"/>
  </r>
  <r>
    <n v="10213"/>
    <s v="مؤمن"/>
    <d v="2026-07-30T00:00:00"/>
    <x v="6"/>
    <x v="2"/>
    <x v="3"/>
    <x v="17"/>
    <x v="8"/>
    <x v="6"/>
    <n v="7.0000000000000007E-2"/>
    <x v="1"/>
    <x v="0"/>
    <s v="عميل 71"/>
    <x v="57"/>
  </r>
  <r>
    <n v="10214"/>
    <s v="كريم"/>
    <d v="2026-09-27T00:00:00"/>
    <x v="7"/>
    <x v="0"/>
    <x v="2"/>
    <x v="12"/>
    <x v="5"/>
    <x v="7"/>
    <n v="0.15"/>
    <x v="1"/>
    <x v="2"/>
    <s v="عميل 89"/>
    <x v="69"/>
  </r>
  <r>
    <n v="10215"/>
    <s v="عمر"/>
    <d v="2026-11-09T00:00:00"/>
    <x v="6"/>
    <x v="2"/>
    <x v="3"/>
    <x v="24"/>
    <x v="5"/>
    <x v="6"/>
    <n v="0.15"/>
    <x v="1"/>
    <x v="1"/>
    <s v="عميل 127"/>
    <x v="6"/>
  </r>
  <r>
    <n v="10216"/>
    <s v="مؤمن"/>
    <d v="2026-12-20T00:00:00"/>
    <x v="14"/>
    <x v="4"/>
    <x v="7"/>
    <x v="18"/>
    <x v="0"/>
    <x v="14"/>
    <n v="0.05"/>
    <x v="1"/>
    <x v="2"/>
    <s v="عميل 246"/>
    <x v="43"/>
  </r>
  <r>
    <n v="10217"/>
    <s v="مصطفى"/>
    <d v="2026-07-14T00:00:00"/>
    <x v="9"/>
    <x v="4"/>
    <x v="7"/>
    <x v="15"/>
    <x v="3"/>
    <x v="9"/>
    <n v="0.1"/>
    <x v="1"/>
    <x v="2"/>
    <s v="عميل 75"/>
    <x v="65"/>
  </r>
  <r>
    <n v="10218"/>
    <s v="كريم"/>
    <d v="2026-12-02T00:00:00"/>
    <x v="14"/>
    <x v="4"/>
    <x v="1"/>
    <x v="6"/>
    <x v="3"/>
    <x v="14"/>
    <n v="0.05"/>
    <x v="2"/>
    <x v="3"/>
    <s v="عميل 110"/>
    <x v="66"/>
  </r>
  <r>
    <n v="10219"/>
    <s v="محمد"/>
    <d v="2026-11-12T00:00:00"/>
    <x v="5"/>
    <x v="4"/>
    <x v="7"/>
    <x v="19"/>
    <x v="0"/>
    <x v="5"/>
    <n v="0.03"/>
    <x v="3"/>
    <x v="1"/>
    <s v="عميل 26"/>
    <x v="55"/>
  </r>
  <r>
    <n v="10220"/>
    <s v="محمد"/>
    <d v="2026-07-31T00:00:00"/>
    <x v="0"/>
    <x v="0"/>
    <x v="2"/>
    <x v="12"/>
    <x v="1"/>
    <x v="0"/>
    <n v="0"/>
    <x v="2"/>
    <x v="3"/>
    <s v="عميل 52"/>
    <x v="27"/>
  </r>
  <r>
    <n v="10221"/>
    <s v="علي"/>
    <d v="2026-12-01T00:00:00"/>
    <x v="0"/>
    <x v="0"/>
    <x v="5"/>
    <x v="9"/>
    <x v="4"/>
    <x v="0"/>
    <n v="0.03"/>
    <x v="1"/>
    <x v="3"/>
    <s v="عميل 103"/>
    <x v="100"/>
  </r>
  <r>
    <n v="10222"/>
    <s v="أحمد"/>
    <d v="2026-02-15T00:00:00"/>
    <x v="4"/>
    <x v="3"/>
    <x v="7"/>
    <x v="15"/>
    <x v="0"/>
    <x v="4"/>
    <n v="0.15"/>
    <x v="3"/>
    <x v="0"/>
    <s v="عميل 90"/>
    <x v="17"/>
  </r>
  <r>
    <n v="10223"/>
    <s v="يوسف"/>
    <d v="2026-05-29T00:00:00"/>
    <x v="2"/>
    <x v="2"/>
    <x v="5"/>
    <x v="9"/>
    <x v="7"/>
    <x v="2"/>
    <n v="7.0000000000000007E-2"/>
    <x v="0"/>
    <x v="0"/>
    <s v="عميل 153"/>
    <x v="101"/>
  </r>
  <r>
    <n v="10224"/>
    <s v="مصطفى"/>
    <d v="2026-09-26T00:00:00"/>
    <x v="12"/>
    <x v="0"/>
    <x v="0"/>
    <x v="13"/>
    <x v="0"/>
    <x v="12"/>
    <n v="7.0000000000000007E-2"/>
    <x v="1"/>
    <x v="1"/>
    <s v="عميل 259"/>
    <x v="102"/>
  </r>
  <r>
    <n v="10225"/>
    <s v="يوسف"/>
    <d v="2026-08-23T00:00:00"/>
    <x v="6"/>
    <x v="2"/>
    <x v="7"/>
    <x v="18"/>
    <x v="3"/>
    <x v="6"/>
    <n v="0.05"/>
    <x v="2"/>
    <x v="1"/>
    <s v="عميل 8"/>
    <x v="14"/>
  </r>
  <r>
    <n v="10226"/>
    <s v="مؤمن"/>
    <d v="2026-03-31T00:00:00"/>
    <x v="10"/>
    <x v="3"/>
    <x v="3"/>
    <x v="17"/>
    <x v="2"/>
    <x v="10"/>
    <n v="0.15"/>
    <x v="1"/>
    <x v="3"/>
    <s v="عميل 264"/>
    <x v="103"/>
  </r>
  <r>
    <n v="10227"/>
    <s v="يوسف"/>
    <d v="2026-09-02T00:00:00"/>
    <x v="9"/>
    <x v="4"/>
    <x v="0"/>
    <x v="26"/>
    <x v="3"/>
    <x v="9"/>
    <n v="0.03"/>
    <x v="2"/>
    <x v="1"/>
    <s v="عميل 4"/>
    <x v="65"/>
  </r>
  <r>
    <n v="10228"/>
    <s v="محمود"/>
    <d v="2026-06-04T00:00:00"/>
    <x v="14"/>
    <x v="4"/>
    <x v="6"/>
    <x v="23"/>
    <x v="6"/>
    <x v="14"/>
    <n v="0.05"/>
    <x v="0"/>
    <x v="2"/>
    <s v="عميل 185"/>
    <x v="65"/>
  </r>
  <r>
    <n v="10229"/>
    <s v="عمر"/>
    <d v="2026-03-23T00:00:00"/>
    <x v="10"/>
    <x v="3"/>
    <x v="2"/>
    <x v="5"/>
    <x v="3"/>
    <x v="10"/>
    <n v="7.0000000000000007E-2"/>
    <x v="1"/>
    <x v="2"/>
    <s v="عميل 61"/>
    <x v="19"/>
  </r>
  <r>
    <n v="10230"/>
    <s v="مؤمن"/>
    <d v="2026-03-10T00:00:00"/>
    <x v="0"/>
    <x v="0"/>
    <x v="7"/>
    <x v="15"/>
    <x v="2"/>
    <x v="0"/>
    <n v="0.03"/>
    <x v="1"/>
    <x v="1"/>
    <s v="عميل 233"/>
    <x v="11"/>
  </r>
  <r>
    <n v="10231"/>
    <s v="مصطفى"/>
    <d v="2026-12-07T00:00:00"/>
    <x v="10"/>
    <x v="3"/>
    <x v="3"/>
    <x v="17"/>
    <x v="4"/>
    <x v="10"/>
    <n v="7.0000000000000007E-2"/>
    <x v="3"/>
    <x v="1"/>
    <s v="عميل 42"/>
    <x v="37"/>
  </r>
  <r>
    <n v="10232"/>
    <s v="حسن"/>
    <d v="2026-02-27T00:00:00"/>
    <x v="7"/>
    <x v="0"/>
    <x v="4"/>
    <x v="11"/>
    <x v="5"/>
    <x v="7"/>
    <n v="0"/>
    <x v="0"/>
    <x v="1"/>
    <s v="عميل 294"/>
    <x v="69"/>
  </r>
  <r>
    <n v="10233"/>
    <s v="كريم"/>
    <d v="2026-03-01T00:00:00"/>
    <x v="7"/>
    <x v="0"/>
    <x v="5"/>
    <x v="25"/>
    <x v="5"/>
    <x v="7"/>
    <n v="0.1"/>
    <x v="3"/>
    <x v="3"/>
    <s v="عميل 47"/>
    <x v="69"/>
  </r>
  <r>
    <n v="10234"/>
    <s v="مصطفى"/>
    <d v="2026-08-01T00:00:00"/>
    <x v="11"/>
    <x v="5"/>
    <x v="4"/>
    <x v="7"/>
    <x v="6"/>
    <x v="11"/>
    <n v="0.03"/>
    <x v="1"/>
    <x v="0"/>
    <s v="عميل 287"/>
    <x v="62"/>
  </r>
  <r>
    <n v="10235"/>
    <s v="عمر"/>
    <d v="2026-01-02T00:00:00"/>
    <x v="6"/>
    <x v="2"/>
    <x v="7"/>
    <x v="19"/>
    <x v="9"/>
    <x v="6"/>
    <n v="7.0000000000000007E-2"/>
    <x v="3"/>
    <x v="0"/>
    <s v="عميل 24"/>
    <x v="36"/>
  </r>
  <r>
    <n v="10236"/>
    <s v="أحمد"/>
    <d v="2026-02-05T00:00:00"/>
    <x v="2"/>
    <x v="2"/>
    <x v="3"/>
    <x v="24"/>
    <x v="3"/>
    <x v="2"/>
    <n v="0.1"/>
    <x v="1"/>
    <x v="0"/>
    <s v="عميل 147"/>
    <x v="104"/>
  </r>
  <r>
    <n v="10237"/>
    <s v="علي"/>
    <d v="2026-08-18T00:00:00"/>
    <x v="2"/>
    <x v="2"/>
    <x v="5"/>
    <x v="25"/>
    <x v="7"/>
    <x v="2"/>
    <n v="0.05"/>
    <x v="1"/>
    <x v="3"/>
    <s v="عميل 42"/>
    <x v="101"/>
  </r>
  <r>
    <n v="10238"/>
    <s v="مصطفى"/>
    <d v="2026-07-21T00:00:00"/>
    <x v="0"/>
    <x v="0"/>
    <x v="5"/>
    <x v="21"/>
    <x v="3"/>
    <x v="0"/>
    <n v="0.03"/>
    <x v="3"/>
    <x v="1"/>
    <s v="عميل 2"/>
    <x v="105"/>
  </r>
  <r>
    <n v="10239"/>
    <s v="مصطفى"/>
    <d v="2026-08-06T00:00:00"/>
    <x v="4"/>
    <x v="3"/>
    <x v="1"/>
    <x v="6"/>
    <x v="6"/>
    <x v="4"/>
    <n v="0.15"/>
    <x v="1"/>
    <x v="1"/>
    <s v="عميل 127"/>
    <x v="18"/>
  </r>
  <r>
    <n v="10240"/>
    <s v="محمد"/>
    <d v="2026-01-17T00:00:00"/>
    <x v="6"/>
    <x v="2"/>
    <x v="3"/>
    <x v="4"/>
    <x v="0"/>
    <x v="6"/>
    <n v="0.03"/>
    <x v="1"/>
    <x v="0"/>
    <s v="عميل 124"/>
    <x v="52"/>
  </r>
  <r>
    <n v="10241"/>
    <s v="كريم"/>
    <d v="2026-11-03T00:00:00"/>
    <x v="5"/>
    <x v="4"/>
    <x v="0"/>
    <x v="0"/>
    <x v="2"/>
    <x v="5"/>
    <n v="0"/>
    <x v="0"/>
    <x v="1"/>
    <s v="عميل 23"/>
    <x v="15"/>
  </r>
  <r>
    <n v="10242"/>
    <s v="أحمد"/>
    <d v="2026-03-13T00:00:00"/>
    <x v="2"/>
    <x v="2"/>
    <x v="4"/>
    <x v="7"/>
    <x v="4"/>
    <x v="2"/>
    <n v="0.03"/>
    <x v="2"/>
    <x v="1"/>
    <s v="عميل 295"/>
    <x v="90"/>
  </r>
  <r>
    <n v="10243"/>
    <s v="مصطفى"/>
    <d v="2026-04-24T00:00:00"/>
    <x v="9"/>
    <x v="4"/>
    <x v="3"/>
    <x v="4"/>
    <x v="0"/>
    <x v="9"/>
    <n v="0.03"/>
    <x v="1"/>
    <x v="2"/>
    <s v="عميل 141"/>
    <x v="36"/>
  </r>
  <r>
    <n v="10244"/>
    <s v="أحمد"/>
    <d v="2026-06-26T00:00:00"/>
    <x v="1"/>
    <x v="1"/>
    <x v="5"/>
    <x v="8"/>
    <x v="4"/>
    <x v="1"/>
    <n v="7.0000000000000007E-2"/>
    <x v="1"/>
    <x v="2"/>
    <s v="عميل 214"/>
    <x v="25"/>
  </r>
  <r>
    <n v="10245"/>
    <s v="مصطفى"/>
    <d v="2026-08-31T00:00:00"/>
    <x v="2"/>
    <x v="2"/>
    <x v="5"/>
    <x v="21"/>
    <x v="7"/>
    <x v="2"/>
    <n v="0.03"/>
    <x v="3"/>
    <x v="1"/>
    <s v="عميل 154"/>
    <x v="101"/>
  </r>
  <r>
    <n v="10246"/>
    <s v="علي"/>
    <d v="2026-08-02T00:00:00"/>
    <x v="8"/>
    <x v="4"/>
    <x v="5"/>
    <x v="8"/>
    <x v="9"/>
    <x v="8"/>
    <n v="0.1"/>
    <x v="3"/>
    <x v="3"/>
    <s v="عميل 125"/>
    <x v="74"/>
  </r>
  <r>
    <n v="10247"/>
    <s v="محمود"/>
    <d v="2026-02-17T00:00:00"/>
    <x v="14"/>
    <x v="4"/>
    <x v="2"/>
    <x v="2"/>
    <x v="3"/>
    <x v="14"/>
    <n v="7.0000000000000007E-2"/>
    <x v="3"/>
    <x v="0"/>
    <s v="عميل 138"/>
    <x v="66"/>
  </r>
  <r>
    <n v="10248"/>
    <s v="مصطفى"/>
    <d v="2026-04-22T00:00:00"/>
    <x v="2"/>
    <x v="2"/>
    <x v="1"/>
    <x v="1"/>
    <x v="1"/>
    <x v="2"/>
    <n v="0.1"/>
    <x v="1"/>
    <x v="1"/>
    <s v="عميل 171"/>
    <x v="93"/>
  </r>
  <r>
    <n v="10249"/>
    <s v="محمد"/>
    <d v="2026-09-03T00:00:00"/>
    <x v="14"/>
    <x v="4"/>
    <x v="1"/>
    <x v="10"/>
    <x v="1"/>
    <x v="14"/>
    <n v="0.15"/>
    <x v="3"/>
    <x v="1"/>
    <s v="عميل 204"/>
    <x v="54"/>
  </r>
  <r>
    <n v="10250"/>
    <s v="علي"/>
    <d v="2026-08-27T00:00:00"/>
    <x v="11"/>
    <x v="5"/>
    <x v="2"/>
    <x v="12"/>
    <x v="5"/>
    <x v="11"/>
    <n v="0.05"/>
    <x v="2"/>
    <x v="2"/>
    <s v="عميل 134"/>
    <x v="77"/>
  </r>
  <r>
    <n v="10251"/>
    <s v="كريم"/>
    <d v="2026-06-13T00:00:00"/>
    <x v="9"/>
    <x v="4"/>
    <x v="4"/>
    <x v="20"/>
    <x v="3"/>
    <x v="9"/>
    <n v="0.15"/>
    <x v="3"/>
    <x v="2"/>
    <s v="عميل 161"/>
    <x v="65"/>
  </r>
  <r>
    <n v="10252"/>
    <s v="عمر"/>
    <d v="2026-10-11T00:00:00"/>
    <x v="2"/>
    <x v="2"/>
    <x v="1"/>
    <x v="10"/>
    <x v="8"/>
    <x v="2"/>
    <n v="0"/>
    <x v="1"/>
    <x v="2"/>
    <s v="عميل 79"/>
    <x v="10"/>
  </r>
  <r>
    <n v="10253"/>
    <s v="مؤمن"/>
    <d v="2026-09-13T00:00:00"/>
    <x v="5"/>
    <x v="4"/>
    <x v="3"/>
    <x v="4"/>
    <x v="7"/>
    <x v="5"/>
    <n v="0.1"/>
    <x v="2"/>
    <x v="2"/>
    <s v="عميل 251"/>
    <x v="8"/>
  </r>
  <r>
    <n v="10254"/>
    <s v="محمود"/>
    <d v="2026-03-28T00:00:00"/>
    <x v="10"/>
    <x v="3"/>
    <x v="4"/>
    <x v="20"/>
    <x v="8"/>
    <x v="10"/>
    <n v="0.15"/>
    <x v="3"/>
    <x v="3"/>
    <s v="عميل 95"/>
    <x v="98"/>
  </r>
  <r>
    <n v="10255"/>
    <s v="أحمد"/>
    <d v="2026-01-04T00:00:00"/>
    <x v="11"/>
    <x v="5"/>
    <x v="1"/>
    <x v="1"/>
    <x v="3"/>
    <x v="11"/>
    <n v="0.15"/>
    <x v="1"/>
    <x v="1"/>
    <s v="عميل 119"/>
    <x v="59"/>
  </r>
  <r>
    <n v="10256"/>
    <s v="كريم"/>
    <d v="2026-07-11T00:00:00"/>
    <x v="13"/>
    <x v="1"/>
    <x v="5"/>
    <x v="9"/>
    <x v="1"/>
    <x v="13"/>
    <n v="0.1"/>
    <x v="0"/>
    <x v="3"/>
    <s v="عميل 250"/>
    <x v="106"/>
  </r>
  <r>
    <n v="10257"/>
    <s v="مصطفى"/>
    <d v="2026-05-21T00:00:00"/>
    <x v="1"/>
    <x v="1"/>
    <x v="1"/>
    <x v="3"/>
    <x v="9"/>
    <x v="1"/>
    <n v="0"/>
    <x v="2"/>
    <x v="0"/>
    <s v="عميل 258"/>
    <x v="107"/>
  </r>
  <r>
    <n v="10258"/>
    <s v="مصطفى"/>
    <d v="2026-03-18T00:00:00"/>
    <x v="8"/>
    <x v="4"/>
    <x v="6"/>
    <x v="23"/>
    <x v="3"/>
    <x v="8"/>
    <n v="0"/>
    <x v="3"/>
    <x v="1"/>
    <s v="عميل 270"/>
    <x v="108"/>
  </r>
  <r>
    <n v="10259"/>
    <s v="محمود"/>
    <d v="2026-07-27T00:00:00"/>
    <x v="14"/>
    <x v="4"/>
    <x v="3"/>
    <x v="17"/>
    <x v="7"/>
    <x v="14"/>
    <n v="0"/>
    <x v="1"/>
    <x v="1"/>
    <s v="عميل 116"/>
    <x v="84"/>
  </r>
  <r>
    <n v="10260"/>
    <s v="علي"/>
    <d v="2026-07-13T00:00:00"/>
    <x v="14"/>
    <x v="4"/>
    <x v="0"/>
    <x v="0"/>
    <x v="3"/>
    <x v="14"/>
    <n v="7.0000000000000007E-2"/>
    <x v="1"/>
    <x v="0"/>
    <s v="عميل 5"/>
    <x v="66"/>
  </r>
  <r>
    <n v="10261"/>
    <s v="محمود"/>
    <d v="2026-10-17T00:00:00"/>
    <x v="10"/>
    <x v="3"/>
    <x v="5"/>
    <x v="9"/>
    <x v="6"/>
    <x v="10"/>
    <n v="7.0000000000000007E-2"/>
    <x v="0"/>
    <x v="0"/>
    <s v="عميل 118"/>
    <x v="109"/>
  </r>
  <r>
    <n v="10262"/>
    <s v="عمر"/>
    <d v="2026-10-06T00:00:00"/>
    <x v="5"/>
    <x v="4"/>
    <x v="4"/>
    <x v="20"/>
    <x v="9"/>
    <x v="5"/>
    <n v="0"/>
    <x v="0"/>
    <x v="1"/>
    <s v="عميل 162"/>
    <x v="18"/>
  </r>
  <r>
    <n v="10263"/>
    <s v="علي"/>
    <d v="2026-02-09T00:00:00"/>
    <x v="1"/>
    <x v="1"/>
    <x v="2"/>
    <x v="12"/>
    <x v="8"/>
    <x v="1"/>
    <n v="0.15"/>
    <x v="2"/>
    <x v="1"/>
    <s v="عميل 289"/>
    <x v="2"/>
  </r>
  <r>
    <n v="10264"/>
    <s v="علي"/>
    <d v="2026-03-13T00:00:00"/>
    <x v="5"/>
    <x v="4"/>
    <x v="6"/>
    <x v="22"/>
    <x v="4"/>
    <x v="5"/>
    <n v="0.05"/>
    <x v="0"/>
    <x v="2"/>
    <s v="عميل 28"/>
    <x v="110"/>
  </r>
  <r>
    <n v="10265"/>
    <s v="حسن"/>
    <d v="2026-11-11T00:00:00"/>
    <x v="13"/>
    <x v="1"/>
    <x v="6"/>
    <x v="23"/>
    <x v="3"/>
    <x v="13"/>
    <n v="0.05"/>
    <x v="1"/>
    <x v="2"/>
    <s v="عميل 16"/>
    <x v="96"/>
  </r>
  <r>
    <n v="10266"/>
    <s v="محمود"/>
    <d v="2026-10-11T00:00:00"/>
    <x v="0"/>
    <x v="0"/>
    <x v="7"/>
    <x v="15"/>
    <x v="6"/>
    <x v="0"/>
    <n v="0.03"/>
    <x v="1"/>
    <x v="3"/>
    <s v="عميل 96"/>
    <x v="111"/>
  </r>
  <r>
    <n v="10267"/>
    <s v="مؤمن"/>
    <d v="2026-02-07T00:00:00"/>
    <x v="0"/>
    <x v="0"/>
    <x v="6"/>
    <x v="23"/>
    <x v="2"/>
    <x v="0"/>
    <n v="0.05"/>
    <x v="0"/>
    <x v="2"/>
    <s v="عميل 79"/>
    <x v="11"/>
  </r>
  <r>
    <n v="10268"/>
    <s v="محمد"/>
    <d v="2026-02-16T00:00:00"/>
    <x v="2"/>
    <x v="2"/>
    <x v="5"/>
    <x v="8"/>
    <x v="5"/>
    <x v="2"/>
    <n v="0.05"/>
    <x v="0"/>
    <x v="2"/>
    <s v="عميل 228"/>
    <x v="52"/>
  </r>
  <r>
    <n v="10269"/>
    <s v="يوسف"/>
    <d v="2026-08-09T00:00:00"/>
    <x v="9"/>
    <x v="4"/>
    <x v="7"/>
    <x v="18"/>
    <x v="8"/>
    <x v="9"/>
    <n v="0"/>
    <x v="1"/>
    <x v="3"/>
    <s v="عميل 53"/>
    <x v="86"/>
  </r>
  <r>
    <n v="10270"/>
    <s v="حسن"/>
    <d v="2026-11-03T00:00:00"/>
    <x v="1"/>
    <x v="1"/>
    <x v="0"/>
    <x v="13"/>
    <x v="4"/>
    <x v="1"/>
    <n v="0"/>
    <x v="2"/>
    <x v="3"/>
    <s v="عميل 7"/>
    <x v="25"/>
  </r>
  <r>
    <n v="10271"/>
    <s v="مصطفى"/>
    <d v="2026-05-05T00:00:00"/>
    <x v="14"/>
    <x v="4"/>
    <x v="6"/>
    <x v="14"/>
    <x v="3"/>
    <x v="14"/>
    <n v="0.15"/>
    <x v="3"/>
    <x v="3"/>
    <s v="عميل 87"/>
    <x v="66"/>
  </r>
  <r>
    <n v="10272"/>
    <s v="يوسف"/>
    <d v="2026-02-02T00:00:00"/>
    <x v="3"/>
    <x v="1"/>
    <x v="7"/>
    <x v="15"/>
    <x v="0"/>
    <x v="3"/>
    <n v="7.0000000000000007E-2"/>
    <x v="3"/>
    <x v="3"/>
    <s v="عميل 142"/>
    <x v="88"/>
  </r>
  <r>
    <n v="10273"/>
    <s v="عمر"/>
    <d v="2026-05-07T00:00:00"/>
    <x v="2"/>
    <x v="2"/>
    <x v="7"/>
    <x v="15"/>
    <x v="3"/>
    <x v="2"/>
    <n v="0.05"/>
    <x v="1"/>
    <x v="1"/>
    <s v="عميل 235"/>
    <x v="104"/>
  </r>
  <r>
    <n v="10274"/>
    <s v="محمود"/>
    <d v="2026-11-14T00:00:00"/>
    <x v="13"/>
    <x v="1"/>
    <x v="5"/>
    <x v="21"/>
    <x v="9"/>
    <x v="13"/>
    <n v="7.0000000000000007E-2"/>
    <x v="1"/>
    <x v="2"/>
    <s v="عميل 226"/>
    <x v="80"/>
  </r>
  <r>
    <n v="10275"/>
    <s v="عمر"/>
    <d v="2026-06-14T00:00:00"/>
    <x v="9"/>
    <x v="4"/>
    <x v="6"/>
    <x v="22"/>
    <x v="2"/>
    <x v="9"/>
    <n v="0.03"/>
    <x v="3"/>
    <x v="3"/>
    <s v="عميل 161"/>
    <x v="14"/>
  </r>
  <r>
    <n v="10276"/>
    <s v="كريم"/>
    <d v="2026-10-22T00:00:00"/>
    <x v="3"/>
    <x v="1"/>
    <x v="6"/>
    <x v="14"/>
    <x v="0"/>
    <x v="3"/>
    <n v="0.15"/>
    <x v="3"/>
    <x v="2"/>
    <s v="عميل 193"/>
    <x v="88"/>
  </r>
  <r>
    <n v="10277"/>
    <s v="مؤمن"/>
    <d v="2026-10-31T00:00:00"/>
    <x v="14"/>
    <x v="4"/>
    <x v="6"/>
    <x v="14"/>
    <x v="3"/>
    <x v="14"/>
    <n v="0.1"/>
    <x v="3"/>
    <x v="0"/>
    <s v="عميل 237"/>
    <x v="66"/>
  </r>
  <r>
    <n v="10278"/>
    <s v="محمد"/>
    <d v="2026-07-29T00:00:00"/>
    <x v="10"/>
    <x v="3"/>
    <x v="2"/>
    <x v="2"/>
    <x v="0"/>
    <x v="10"/>
    <n v="0.15"/>
    <x v="1"/>
    <x v="1"/>
    <s v="عميل 156"/>
    <x v="112"/>
  </r>
  <r>
    <n v="10279"/>
    <s v="علي"/>
    <d v="2026-07-13T00:00:00"/>
    <x v="5"/>
    <x v="4"/>
    <x v="7"/>
    <x v="19"/>
    <x v="8"/>
    <x v="5"/>
    <n v="0.15"/>
    <x v="0"/>
    <x v="3"/>
    <s v="عميل 246"/>
    <x v="65"/>
  </r>
  <r>
    <n v="10280"/>
    <s v="علي"/>
    <d v="2026-10-06T00:00:00"/>
    <x v="12"/>
    <x v="0"/>
    <x v="6"/>
    <x v="22"/>
    <x v="4"/>
    <x v="12"/>
    <n v="0.15"/>
    <x v="0"/>
    <x v="2"/>
    <s v="عميل 275"/>
    <x v="87"/>
  </r>
  <r>
    <n v="10281"/>
    <s v="محمود"/>
    <d v="2026-03-27T00:00:00"/>
    <x v="12"/>
    <x v="0"/>
    <x v="0"/>
    <x v="0"/>
    <x v="1"/>
    <x v="12"/>
    <n v="0.15"/>
    <x v="0"/>
    <x v="3"/>
    <s v="عميل 170"/>
    <x v="75"/>
  </r>
  <r>
    <n v="10282"/>
    <s v="عمر"/>
    <d v="2026-04-24T00:00:00"/>
    <x v="4"/>
    <x v="3"/>
    <x v="6"/>
    <x v="23"/>
    <x v="9"/>
    <x v="4"/>
    <n v="0"/>
    <x v="3"/>
    <x v="3"/>
    <s v="عميل 192"/>
    <x v="113"/>
  </r>
  <r>
    <n v="10283"/>
    <s v="مصطفى"/>
    <d v="2026-03-19T00:00:00"/>
    <x v="2"/>
    <x v="2"/>
    <x v="4"/>
    <x v="11"/>
    <x v="2"/>
    <x v="2"/>
    <n v="0.15"/>
    <x v="2"/>
    <x v="0"/>
    <s v="عميل 248"/>
    <x v="2"/>
  </r>
  <r>
    <n v="10284"/>
    <s v="يوسف"/>
    <d v="2026-06-28T00:00:00"/>
    <x v="13"/>
    <x v="1"/>
    <x v="7"/>
    <x v="15"/>
    <x v="3"/>
    <x v="13"/>
    <n v="0"/>
    <x v="2"/>
    <x v="2"/>
    <s v="عميل 234"/>
    <x v="96"/>
  </r>
  <r>
    <n v="10285"/>
    <s v="كريم"/>
    <d v="2026-02-19T00:00:00"/>
    <x v="4"/>
    <x v="3"/>
    <x v="2"/>
    <x v="12"/>
    <x v="6"/>
    <x v="4"/>
    <n v="0.05"/>
    <x v="1"/>
    <x v="3"/>
    <s v="عميل 164"/>
    <x v="18"/>
  </r>
  <r>
    <n v="10286"/>
    <s v="محمود"/>
    <d v="2026-11-28T00:00:00"/>
    <x v="13"/>
    <x v="1"/>
    <x v="7"/>
    <x v="18"/>
    <x v="3"/>
    <x v="13"/>
    <n v="0"/>
    <x v="0"/>
    <x v="1"/>
    <s v="عميل 125"/>
    <x v="96"/>
  </r>
  <r>
    <n v="10287"/>
    <s v="علي"/>
    <d v="2026-08-25T00:00:00"/>
    <x v="7"/>
    <x v="0"/>
    <x v="5"/>
    <x v="25"/>
    <x v="5"/>
    <x v="7"/>
    <n v="0.1"/>
    <x v="3"/>
    <x v="3"/>
    <s v="عميل 95"/>
    <x v="69"/>
  </r>
  <r>
    <n v="10288"/>
    <s v="حسن"/>
    <d v="2026-04-12T00:00:00"/>
    <x v="3"/>
    <x v="1"/>
    <x v="6"/>
    <x v="14"/>
    <x v="9"/>
    <x v="3"/>
    <n v="0.15"/>
    <x v="1"/>
    <x v="3"/>
    <s v="عميل 200"/>
    <x v="46"/>
  </r>
  <r>
    <n v="10289"/>
    <s v="محمد"/>
    <d v="2026-10-23T00:00:00"/>
    <x v="1"/>
    <x v="1"/>
    <x v="2"/>
    <x v="5"/>
    <x v="0"/>
    <x v="1"/>
    <n v="0.15"/>
    <x v="0"/>
    <x v="1"/>
    <s v="عميل 188"/>
    <x v="72"/>
  </r>
  <r>
    <n v="10290"/>
    <s v="كريم"/>
    <d v="2026-09-28T00:00:00"/>
    <x v="9"/>
    <x v="4"/>
    <x v="2"/>
    <x v="2"/>
    <x v="3"/>
    <x v="9"/>
    <n v="0.05"/>
    <x v="2"/>
    <x v="3"/>
    <s v="عميل 201"/>
    <x v="65"/>
  </r>
  <r>
    <n v="10291"/>
    <s v="حسن"/>
    <d v="2026-03-30T00:00:00"/>
    <x v="12"/>
    <x v="0"/>
    <x v="0"/>
    <x v="13"/>
    <x v="5"/>
    <x v="12"/>
    <n v="7.0000000000000007E-2"/>
    <x v="2"/>
    <x v="0"/>
    <s v="عميل 69"/>
    <x v="61"/>
  </r>
  <r>
    <n v="10292"/>
    <s v="يوسف"/>
    <d v="2026-07-11T00:00:00"/>
    <x v="9"/>
    <x v="4"/>
    <x v="0"/>
    <x v="16"/>
    <x v="0"/>
    <x v="9"/>
    <n v="0"/>
    <x v="3"/>
    <x v="3"/>
    <s v="عميل 215"/>
    <x v="36"/>
  </r>
  <r>
    <n v="10293"/>
    <s v="كريم"/>
    <d v="2026-11-22T00:00:00"/>
    <x v="12"/>
    <x v="0"/>
    <x v="5"/>
    <x v="8"/>
    <x v="7"/>
    <x v="12"/>
    <n v="0.03"/>
    <x v="3"/>
    <x v="1"/>
    <s v="عميل 251"/>
    <x v="26"/>
  </r>
  <r>
    <n v="10294"/>
    <s v="حسن"/>
    <d v="2026-01-28T00:00:00"/>
    <x v="14"/>
    <x v="4"/>
    <x v="5"/>
    <x v="25"/>
    <x v="5"/>
    <x v="14"/>
    <n v="7.0000000000000007E-2"/>
    <x v="2"/>
    <x v="0"/>
    <s v="عميل 249"/>
    <x v="34"/>
  </r>
  <r>
    <n v="10295"/>
    <s v="كريم"/>
    <d v="2026-07-29T00:00:00"/>
    <x v="3"/>
    <x v="1"/>
    <x v="2"/>
    <x v="2"/>
    <x v="4"/>
    <x v="3"/>
    <n v="0.1"/>
    <x v="1"/>
    <x v="3"/>
    <s v="عميل 228"/>
    <x v="76"/>
  </r>
  <r>
    <n v="10296"/>
    <s v="مؤمن"/>
    <d v="2026-05-30T00:00:00"/>
    <x v="6"/>
    <x v="2"/>
    <x v="5"/>
    <x v="9"/>
    <x v="2"/>
    <x v="6"/>
    <n v="0"/>
    <x v="0"/>
    <x v="2"/>
    <s v="عميل 116"/>
    <x v="114"/>
  </r>
  <r>
    <n v="10297"/>
    <s v="كريم"/>
    <d v="2026-10-09T00:00:00"/>
    <x v="7"/>
    <x v="0"/>
    <x v="7"/>
    <x v="18"/>
    <x v="6"/>
    <x v="7"/>
    <n v="0.1"/>
    <x v="0"/>
    <x v="0"/>
    <s v="عميل 138"/>
    <x v="7"/>
  </r>
  <r>
    <n v="10298"/>
    <s v="كريم"/>
    <d v="2026-10-07T00:00:00"/>
    <x v="4"/>
    <x v="3"/>
    <x v="3"/>
    <x v="24"/>
    <x v="9"/>
    <x v="4"/>
    <n v="0.15"/>
    <x v="3"/>
    <x v="3"/>
    <s v="عميل 53"/>
    <x v="113"/>
  </r>
  <r>
    <n v="10299"/>
    <s v="عمر"/>
    <d v="2026-06-28T00:00:00"/>
    <x v="10"/>
    <x v="3"/>
    <x v="2"/>
    <x v="2"/>
    <x v="9"/>
    <x v="10"/>
    <n v="7.0000000000000007E-2"/>
    <x v="0"/>
    <x v="3"/>
    <s v="عميل 61"/>
    <x v="115"/>
  </r>
  <r>
    <n v="10300"/>
    <s v="محمود"/>
    <d v="2026-12-30T00:00:00"/>
    <x v="4"/>
    <x v="3"/>
    <x v="2"/>
    <x v="5"/>
    <x v="2"/>
    <x v="4"/>
    <n v="0.15"/>
    <x v="1"/>
    <x v="1"/>
    <s v="عميل 72"/>
    <x v="116"/>
  </r>
  <r>
    <n v="10301"/>
    <s v="محمود"/>
    <d v="2026-09-30T00:00:00"/>
    <x v="4"/>
    <x v="3"/>
    <x v="2"/>
    <x v="5"/>
    <x v="9"/>
    <x v="4"/>
    <n v="0.1"/>
    <x v="2"/>
    <x v="1"/>
    <s v="عميل 166"/>
    <x v="113"/>
  </r>
  <r>
    <n v="10302"/>
    <s v="مصطفى"/>
    <d v="2026-12-14T00:00:00"/>
    <x v="10"/>
    <x v="3"/>
    <x v="7"/>
    <x v="15"/>
    <x v="2"/>
    <x v="10"/>
    <n v="0.05"/>
    <x v="0"/>
    <x v="1"/>
    <s v="عميل 211"/>
    <x v="103"/>
  </r>
  <r>
    <n v="10303"/>
    <s v="يوسف"/>
    <d v="2026-05-08T00:00:00"/>
    <x v="11"/>
    <x v="5"/>
    <x v="1"/>
    <x v="6"/>
    <x v="8"/>
    <x v="11"/>
    <n v="0.15"/>
    <x v="3"/>
    <x v="2"/>
    <s v="عميل 127"/>
    <x v="35"/>
  </r>
  <r>
    <n v="10304"/>
    <s v="عمر"/>
    <d v="2026-11-18T00:00:00"/>
    <x v="4"/>
    <x v="3"/>
    <x v="6"/>
    <x v="14"/>
    <x v="8"/>
    <x v="4"/>
    <n v="0.1"/>
    <x v="1"/>
    <x v="3"/>
    <s v="عميل 232"/>
    <x v="32"/>
  </r>
  <r>
    <n v="10305"/>
    <s v="عمر"/>
    <d v="2026-12-22T00:00:00"/>
    <x v="13"/>
    <x v="1"/>
    <x v="0"/>
    <x v="26"/>
    <x v="4"/>
    <x v="13"/>
    <n v="0.15"/>
    <x v="2"/>
    <x v="3"/>
    <s v="عميل 250"/>
    <x v="117"/>
  </r>
  <r>
    <n v="10306"/>
    <s v="محمود"/>
    <d v="2026-02-02T00:00:00"/>
    <x v="9"/>
    <x v="4"/>
    <x v="1"/>
    <x v="1"/>
    <x v="6"/>
    <x v="9"/>
    <n v="0.15"/>
    <x v="1"/>
    <x v="1"/>
    <s v="عميل 220"/>
    <x v="20"/>
  </r>
  <r>
    <n v="10307"/>
    <s v="عمر"/>
    <d v="2026-06-22T00:00:00"/>
    <x v="8"/>
    <x v="4"/>
    <x v="2"/>
    <x v="2"/>
    <x v="0"/>
    <x v="8"/>
    <n v="0.05"/>
    <x v="3"/>
    <x v="3"/>
    <s v="عميل 176"/>
    <x v="50"/>
  </r>
  <r>
    <n v="10308"/>
    <s v="كريم"/>
    <d v="2026-01-09T00:00:00"/>
    <x v="11"/>
    <x v="5"/>
    <x v="1"/>
    <x v="1"/>
    <x v="3"/>
    <x v="11"/>
    <n v="0.15"/>
    <x v="0"/>
    <x v="1"/>
    <s v="عميل 226"/>
    <x v="59"/>
  </r>
  <r>
    <n v="10309"/>
    <s v="يوسف"/>
    <d v="2026-11-29T00:00:00"/>
    <x v="6"/>
    <x v="2"/>
    <x v="1"/>
    <x v="3"/>
    <x v="1"/>
    <x v="6"/>
    <n v="0.15"/>
    <x v="2"/>
    <x v="1"/>
    <s v="عميل 141"/>
    <x v="39"/>
  </r>
  <r>
    <n v="10310"/>
    <s v="يوسف"/>
    <d v="2026-01-27T00:00:00"/>
    <x v="13"/>
    <x v="1"/>
    <x v="3"/>
    <x v="17"/>
    <x v="3"/>
    <x v="13"/>
    <n v="0.05"/>
    <x v="1"/>
    <x v="2"/>
    <s v="عميل 120"/>
    <x v="96"/>
  </r>
  <r>
    <n v="10311"/>
    <s v="كريم"/>
    <d v="2026-02-09T00:00:00"/>
    <x v="2"/>
    <x v="2"/>
    <x v="0"/>
    <x v="0"/>
    <x v="9"/>
    <x v="2"/>
    <n v="0.03"/>
    <x v="3"/>
    <x v="1"/>
    <s v="عميل 266"/>
    <x v="41"/>
  </r>
  <r>
    <n v="10312"/>
    <s v="محمود"/>
    <d v="2026-03-03T00:00:00"/>
    <x v="0"/>
    <x v="0"/>
    <x v="4"/>
    <x v="7"/>
    <x v="9"/>
    <x v="0"/>
    <n v="0.15"/>
    <x v="1"/>
    <x v="1"/>
    <s v="عميل 245"/>
    <x v="83"/>
  </r>
  <r>
    <n v="10313"/>
    <s v="محمد"/>
    <d v="2026-02-22T00:00:00"/>
    <x v="13"/>
    <x v="1"/>
    <x v="2"/>
    <x v="2"/>
    <x v="3"/>
    <x v="13"/>
    <n v="0.15"/>
    <x v="2"/>
    <x v="2"/>
    <s v="عميل 154"/>
    <x v="96"/>
  </r>
  <r>
    <n v="10314"/>
    <s v="مصطفى"/>
    <d v="2026-10-16T00:00:00"/>
    <x v="3"/>
    <x v="1"/>
    <x v="6"/>
    <x v="23"/>
    <x v="8"/>
    <x v="3"/>
    <n v="0"/>
    <x v="0"/>
    <x v="1"/>
    <s v="عميل 226"/>
    <x v="44"/>
  </r>
  <r>
    <n v="10315"/>
    <s v="حسن"/>
    <d v="2026-12-18T00:00:00"/>
    <x v="9"/>
    <x v="4"/>
    <x v="2"/>
    <x v="12"/>
    <x v="8"/>
    <x v="9"/>
    <n v="7.0000000000000007E-2"/>
    <x v="1"/>
    <x v="1"/>
    <s v="عميل 45"/>
    <x v="86"/>
  </r>
  <r>
    <n v="10316"/>
    <s v="علي"/>
    <d v="2026-06-29T00:00:00"/>
    <x v="11"/>
    <x v="5"/>
    <x v="0"/>
    <x v="16"/>
    <x v="3"/>
    <x v="11"/>
    <n v="0.1"/>
    <x v="1"/>
    <x v="2"/>
    <s v="عميل 72"/>
    <x v="59"/>
  </r>
  <r>
    <n v="10317"/>
    <s v="مصطفى"/>
    <d v="2026-11-04T00:00:00"/>
    <x v="5"/>
    <x v="4"/>
    <x v="7"/>
    <x v="19"/>
    <x v="3"/>
    <x v="5"/>
    <n v="0.03"/>
    <x v="2"/>
    <x v="0"/>
    <s v="عميل 155"/>
    <x v="82"/>
  </r>
  <r>
    <n v="10318"/>
    <s v="أحمد"/>
    <d v="2026-05-03T00:00:00"/>
    <x v="5"/>
    <x v="4"/>
    <x v="2"/>
    <x v="12"/>
    <x v="7"/>
    <x v="5"/>
    <n v="0.05"/>
    <x v="1"/>
    <x v="3"/>
    <s v="عميل 58"/>
    <x v="8"/>
  </r>
  <r>
    <n v="10319"/>
    <s v="مصطفى"/>
    <d v="2026-01-07T00:00:00"/>
    <x v="5"/>
    <x v="4"/>
    <x v="4"/>
    <x v="11"/>
    <x v="2"/>
    <x v="5"/>
    <n v="0"/>
    <x v="2"/>
    <x v="2"/>
    <s v="عميل 68"/>
    <x v="15"/>
  </r>
  <r>
    <n v="10320"/>
    <s v="يوسف"/>
    <d v="2026-08-30T00:00:00"/>
    <x v="2"/>
    <x v="2"/>
    <x v="6"/>
    <x v="14"/>
    <x v="4"/>
    <x v="2"/>
    <n v="0.15"/>
    <x v="0"/>
    <x v="0"/>
    <s v="عميل 35"/>
    <x v="90"/>
  </r>
  <r>
    <n v="10321"/>
    <s v="علي"/>
    <d v="2026-09-17T00:00:00"/>
    <x v="1"/>
    <x v="1"/>
    <x v="7"/>
    <x v="18"/>
    <x v="9"/>
    <x v="1"/>
    <n v="0"/>
    <x v="2"/>
    <x v="3"/>
    <s v="عميل 217"/>
    <x v="107"/>
  </r>
  <r>
    <n v="10322"/>
    <s v="حسن"/>
    <d v="2026-03-20T00:00:00"/>
    <x v="10"/>
    <x v="3"/>
    <x v="6"/>
    <x v="23"/>
    <x v="4"/>
    <x v="10"/>
    <n v="0.1"/>
    <x v="2"/>
    <x v="0"/>
    <s v="عميل 159"/>
    <x v="37"/>
  </r>
  <r>
    <n v="10323"/>
    <s v="علي"/>
    <d v="2026-10-28T00:00:00"/>
    <x v="13"/>
    <x v="1"/>
    <x v="2"/>
    <x v="5"/>
    <x v="4"/>
    <x v="13"/>
    <n v="0.05"/>
    <x v="0"/>
    <x v="2"/>
    <s v="عميل 224"/>
    <x v="117"/>
  </r>
  <r>
    <n v="10324"/>
    <s v="علي"/>
    <d v="2026-03-01T00:00:00"/>
    <x v="10"/>
    <x v="3"/>
    <x v="2"/>
    <x v="5"/>
    <x v="1"/>
    <x v="10"/>
    <n v="0"/>
    <x v="1"/>
    <x v="0"/>
    <s v="عميل 159"/>
    <x v="21"/>
  </r>
  <r>
    <n v="10325"/>
    <s v="يوسف"/>
    <d v="2026-12-26T00:00:00"/>
    <x v="0"/>
    <x v="0"/>
    <x v="5"/>
    <x v="9"/>
    <x v="9"/>
    <x v="0"/>
    <n v="0.15"/>
    <x v="0"/>
    <x v="1"/>
    <s v="عميل 255"/>
    <x v="83"/>
  </r>
  <r>
    <n v="10326"/>
    <s v="عمر"/>
    <d v="2026-03-02T00:00:00"/>
    <x v="9"/>
    <x v="4"/>
    <x v="7"/>
    <x v="18"/>
    <x v="5"/>
    <x v="9"/>
    <n v="0.03"/>
    <x v="0"/>
    <x v="2"/>
    <s v="عميل 220"/>
    <x v="110"/>
  </r>
  <r>
    <n v="10327"/>
    <s v="محمد"/>
    <d v="2026-09-12T00:00:00"/>
    <x v="14"/>
    <x v="4"/>
    <x v="0"/>
    <x v="13"/>
    <x v="2"/>
    <x v="14"/>
    <n v="0.15"/>
    <x v="1"/>
    <x v="2"/>
    <s v="عميل 29"/>
    <x v="58"/>
  </r>
  <r>
    <n v="10328"/>
    <s v="محمد"/>
    <d v="2026-10-21T00:00:00"/>
    <x v="6"/>
    <x v="2"/>
    <x v="5"/>
    <x v="21"/>
    <x v="8"/>
    <x v="6"/>
    <n v="0.05"/>
    <x v="0"/>
    <x v="1"/>
    <s v="عميل 261"/>
    <x v="57"/>
  </r>
  <r>
    <n v="10329"/>
    <s v="كريم"/>
    <d v="2026-07-06T00:00:00"/>
    <x v="1"/>
    <x v="1"/>
    <x v="1"/>
    <x v="1"/>
    <x v="1"/>
    <x v="1"/>
    <n v="0"/>
    <x v="1"/>
    <x v="1"/>
    <s v="عميل 92"/>
    <x v="1"/>
  </r>
  <r>
    <n v="10330"/>
    <s v="مؤمن"/>
    <d v="2026-08-02T00:00:00"/>
    <x v="11"/>
    <x v="5"/>
    <x v="1"/>
    <x v="3"/>
    <x v="1"/>
    <x v="11"/>
    <n v="0.05"/>
    <x v="2"/>
    <x v="2"/>
    <s v="عميل 40"/>
    <x v="102"/>
  </r>
  <r>
    <n v="10331"/>
    <s v="أحمد"/>
    <d v="2026-04-02T00:00:00"/>
    <x v="12"/>
    <x v="0"/>
    <x v="3"/>
    <x v="4"/>
    <x v="4"/>
    <x v="12"/>
    <n v="0.15"/>
    <x v="3"/>
    <x v="0"/>
    <s v="عميل 206"/>
    <x v="87"/>
  </r>
  <r>
    <n v="10332"/>
    <s v="محمد"/>
    <d v="2026-10-11T00:00:00"/>
    <x v="13"/>
    <x v="1"/>
    <x v="4"/>
    <x v="20"/>
    <x v="0"/>
    <x v="13"/>
    <n v="0.05"/>
    <x v="1"/>
    <x v="0"/>
    <s v="عميل 189"/>
    <x v="30"/>
  </r>
  <r>
    <n v="10333"/>
    <s v="حسن"/>
    <d v="2026-05-05T00:00:00"/>
    <x v="5"/>
    <x v="4"/>
    <x v="7"/>
    <x v="19"/>
    <x v="0"/>
    <x v="5"/>
    <n v="0.15"/>
    <x v="1"/>
    <x v="2"/>
    <s v="عميل 253"/>
    <x v="55"/>
  </r>
  <r>
    <n v="10334"/>
    <s v="يوسف"/>
    <d v="2026-01-04T00:00:00"/>
    <x v="4"/>
    <x v="3"/>
    <x v="2"/>
    <x v="12"/>
    <x v="4"/>
    <x v="4"/>
    <n v="0.03"/>
    <x v="1"/>
    <x v="0"/>
    <s v="عميل 120"/>
    <x v="4"/>
  </r>
  <r>
    <n v="10335"/>
    <s v="أحمد"/>
    <d v="2026-12-03T00:00:00"/>
    <x v="7"/>
    <x v="0"/>
    <x v="3"/>
    <x v="24"/>
    <x v="9"/>
    <x v="7"/>
    <n v="0.05"/>
    <x v="1"/>
    <x v="2"/>
    <s v="عميل 54"/>
    <x v="31"/>
  </r>
  <r>
    <n v="10336"/>
    <s v="يوسف"/>
    <d v="2026-12-31T00:00:00"/>
    <x v="5"/>
    <x v="4"/>
    <x v="2"/>
    <x v="2"/>
    <x v="6"/>
    <x v="5"/>
    <n v="0"/>
    <x v="2"/>
    <x v="0"/>
    <s v="عميل 23"/>
    <x v="56"/>
  </r>
  <r>
    <n v="10337"/>
    <s v="محمود"/>
    <d v="2026-08-23T00:00:00"/>
    <x v="11"/>
    <x v="5"/>
    <x v="2"/>
    <x v="12"/>
    <x v="7"/>
    <x v="11"/>
    <n v="0.15"/>
    <x v="0"/>
    <x v="0"/>
    <s v="عميل 259"/>
    <x v="24"/>
  </r>
  <r>
    <n v="10338"/>
    <s v="أحمد"/>
    <d v="2026-08-11T00:00:00"/>
    <x v="3"/>
    <x v="1"/>
    <x v="6"/>
    <x v="23"/>
    <x v="2"/>
    <x v="3"/>
    <n v="0.1"/>
    <x v="3"/>
    <x v="1"/>
    <s v="عميل 150"/>
    <x v="68"/>
  </r>
  <r>
    <n v="10339"/>
    <s v="كريم"/>
    <d v="2026-05-20T00:00:00"/>
    <x v="14"/>
    <x v="4"/>
    <x v="3"/>
    <x v="17"/>
    <x v="5"/>
    <x v="14"/>
    <n v="0.05"/>
    <x v="3"/>
    <x v="0"/>
    <s v="عميل 104"/>
    <x v="34"/>
  </r>
  <r>
    <n v="10340"/>
    <s v="كريم"/>
    <d v="2026-08-27T00:00:00"/>
    <x v="3"/>
    <x v="1"/>
    <x v="0"/>
    <x v="16"/>
    <x v="3"/>
    <x v="3"/>
    <n v="0.03"/>
    <x v="2"/>
    <x v="3"/>
    <s v="عميل 62"/>
    <x v="3"/>
  </r>
  <r>
    <n v="10341"/>
    <s v="كريم"/>
    <d v="2026-05-16T00:00:00"/>
    <x v="7"/>
    <x v="0"/>
    <x v="3"/>
    <x v="4"/>
    <x v="6"/>
    <x v="7"/>
    <n v="0.05"/>
    <x v="0"/>
    <x v="0"/>
    <s v="عميل 81"/>
    <x v="7"/>
  </r>
  <r>
    <n v="10342"/>
    <s v="مؤمن"/>
    <d v="2026-06-17T00:00:00"/>
    <x v="4"/>
    <x v="3"/>
    <x v="7"/>
    <x v="19"/>
    <x v="2"/>
    <x v="4"/>
    <n v="0"/>
    <x v="3"/>
    <x v="0"/>
    <s v="عميل 128"/>
    <x v="116"/>
  </r>
  <r>
    <n v="10343"/>
    <s v="عمر"/>
    <d v="2026-05-14T00:00:00"/>
    <x v="9"/>
    <x v="4"/>
    <x v="6"/>
    <x v="22"/>
    <x v="9"/>
    <x v="9"/>
    <n v="0.15"/>
    <x v="3"/>
    <x v="0"/>
    <s v="عميل 208"/>
    <x v="54"/>
  </r>
  <r>
    <n v="10344"/>
    <s v="محمد"/>
    <d v="2026-08-25T00:00:00"/>
    <x v="8"/>
    <x v="4"/>
    <x v="4"/>
    <x v="11"/>
    <x v="4"/>
    <x v="8"/>
    <n v="0.03"/>
    <x v="0"/>
    <x v="1"/>
    <s v="عميل 63"/>
    <x v="12"/>
  </r>
  <r>
    <n v="10345"/>
    <s v="علي"/>
    <d v="2026-07-10T00:00:00"/>
    <x v="1"/>
    <x v="1"/>
    <x v="1"/>
    <x v="10"/>
    <x v="8"/>
    <x v="1"/>
    <n v="0.03"/>
    <x v="0"/>
    <x v="2"/>
    <s v="عميل 39"/>
    <x v="2"/>
  </r>
  <r>
    <n v="10346"/>
    <s v="محمد"/>
    <d v="2026-06-19T00:00:00"/>
    <x v="1"/>
    <x v="1"/>
    <x v="0"/>
    <x v="16"/>
    <x v="6"/>
    <x v="1"/>
    <n v="0.03"/>
    <x v="0"/>
    <x v="0"/>
    <s v="عميل 237"/>
    <x v="118"/>
  </r>
  <r>
    <n v="10347"/>
    <s v="أحمد"/>
    <d v="2026-07-15T00:00:00"/>
    <x v="1"/>
    <x v="1"/>
    <x v="5"/>
    <x v="8"/>
    <x v="7"/>
    <x v="1"/>
    <n v="7.0000000000000007E-2"/>
    <x v="1"/>
    <x v="1"/>
    <s v="عميل 182"/>
    <x v="45"/>
  </r>
  <r>
    <n v="10348"/>
    <s v="يوسف"/>
    <d v="2026-01-18T00:00:00"/>
    <x v="5"/>
    <x v="4"/>
    <x v="5"/>
    <x v="21"/>
    <x v="0"/>
    <x v="5"/>
    <n v="7.0000000000000007E-2"/>
    <x v="3"/>
    <x v="2"/>
    <s v="عميل 256"/>
    <x v="55"/>
  </r>
  <r>
    <n v="10349"/>
    <s v="علي"/>
    <d v="2026-03-12T00:00:00"/>
    <x v="2"/>
    <x v="2"/>
    <x v="4"/>
    <x v="7"/>
    <x v="3"/>
    <x v="2"/>
    <n v="0.05"/>
    <x v="1"/>
    <x v="1"/>
    <s v="عميل 270"/>
    <x v="104"/>
  </r>
  <r>
    <n v="10350"/>
    <s v="مصطفى"/>
    <d v="2026-09-06T00:00:00"/>
    <x v="5"/>
    <x v="4"/>
    <x v="1"/>
    <x v="3"/>
    <x v="5"/>
    <x v="5"/>
    <n v="7.0000000000000007E-2"/>
    <x v="2"/>
    <x v="2"/>
    <s v="عميل 199"/>
    <x v="29"/>
  </r>
  <r>
    <n v="10351"/>
    <s v="مؤمن"/>
    <d v="2026-01-16T00:00:00"/>
    <x v="14"/>
    <x v="4"/>
    <x v="5"/>
    <x v="9"/>
    <x v="5"/>
    <x v="14"/>
    <n v="0.1"/>
    <x v="2"/>
    <x v="0"/>
    <s v="عميل 242"/>
    <x v="34"/>
  </r>
  <r>
    <n v="10352"/>
    <s v="محمد"/>
    <d v="2026-05-07T00:00:00"/>
    <x v="7"/>
    <x v="0"/>
    <x v="3"/>
    <x v="24"/>
    <x v="1"/>
    <x v="7"/>
    <n v="0.03"/>
    <x v="3"/>
    <x v="2"/>
    <s v="عميل 274"/>
    <x v="97"/>
  </r>
  <r>
    <n v="10353"/>
    <s v="محمود"/>
    <d v="2026-03-30T00:00:00"/>
    <x v="8"/>
    <x v="4"/>
    <x v="1"/>
    <x v="10"/>
    <x v="2"/>
    <x v="8"/>
    <n v="7.0000000000000007E-2"/>
    <x v="3"/>
    <x v="1"/>
    <s v="عميل 163"/>
    <x v="99"/>
  </r>
  <r>
    <n v="10354"/>
    <s v="محمود"/>
    <d v="2026-10-18T00:00:00"/>
    <x v="4"/>
    <x v="3"/>
    <x v="3"/>
    <x v="24"/>
    <x v="9"/>
    <x v="4"/>
    <n v="0.15"/>
    <x v="3"/>
    <x v="1"/>
    <s v="عميل 253"/>
    <x v="113"/>
  </r>
  <r>
    <n v="10355"/>
    <s v="محمد"/>
    <d v="2026-01-29T00:00:00"/>
    <x v="7"/>
    <x v="0"/>
    <x v="7"/>
    <x v="18"/>
    <x v="6"/>
    <x v="7"/>
    <n v="0"/>
    <x v="3"/>
    <x v="1"/>
    <s v="عميل 11"/>
    <x v="7"/>
  </r>
  <r>
    <n v="10356"/>
    <s v="مؤمن"/>
    <d v="2026-03-08T00:00:00"/>
    <x v="7"/>
    <x v="0"/>
    <x v="4"/>
    <x v="7"/>
    <x v="5"/>
    <x v="7"/>
    <n v="0.1"/>
    <x v="2"/>
    <x v="1"/>
    <s v="عميل 166"/>
    <x v="69"/>
  </r>
  <r>
    <n v="10357"/>
    <s v="يوسف"/>
    <d v="2026-02-26T00:00:00"/>
    <x v="1"/>
    <x v="1"/>
    <x v="1"/>
    <x v="10"/>
    <x v="2"/>
    <x v="1"/>
    <n v="0.15"/>
    <x v="2"/>
    <x v="0"/>
    <s v="عميل 192"/>
    <x v="40"/>
  </r>
  <r>
    <n v="10358"/>
    <s v="عمر"/>
    <d v="2026-06-15T00:00:00"/>
    <x v="10"/>
    <x v="3"/>
    <x v="6"/>
    <x v="22"/>
    <x v="3"/>
    <x v="10"/>
    <n v="0.05"/>
    <x v="3"/>
    <x v="1"/>
    <s v="عميل 224"/>
    <x v="19"/>
  </r>
  <r>
    <n v="10359"/>
    <s v="مصطفى"/>
    <d v="2026-12-22T00:00:00"/>
    <x v="4"/>
    <x v="3"/>
    <x v="4"/>
    <x v="11"/>
    <x v="5"/>
    <x v="4"/>
    <n v="0.03"/>
    <x v="2"/>
    <x v="1"/>
    <s v="عميل 90"/>
    <x v="66"/>
  </r>
  <r>
    <n v="10360"/>
    <s v="يوسف"/>
    <d v="2026-01-01T00:00:00"/>
    <x v="2"/>
    <x v="2"/>
    <x v="7"/>
    <x v="19"/>
    <x v="0"/>
    <x v="2"/>
    <n v="0.03"/>
    <x v="1"/>
    <x v="0"/>
    <s v="عميل 94"/>
    <x v="9"/>
  </r>
  <r>
    <n v="10361"/>
    <s v="حسن"/>
    <d v="2026-02-23T00:00:00"/>
    <x v="12"/>
    <x v="0"/>
    <x v="3"/>
    <x v="24"/>
    <x v="1"/>
    <x v="12"/>
    <n v="0.15"/>
    <x v="1"/>
    <x v="1"/>
    <s v="عميل 170"/>
    <x v="75"/>
  </r>
  <r>
    <n v="10362"/>
    <s v="يوسف"/>
    <d v="2026-11-22T00:00:00"/>
    <x v="10"/>
    <x v="3"/>
    <x v="0"/>
    <x v="16"/>
    <x v="5"/>
    <x v="10"/>
    <n v="0.05"/>
    <x v="0"/>
    <x v="2"/>
    <s v="عميل 229"/>
    <x v="89"/>
  </r>
  <r>
    <n v="10363"/>
    <s v="محمد"/>
    <d v="2026-06-29T00:00:00"/>
    <x v="1"/>
    <x v="1"/>
    <x v="7"/>
    <x v="18"/>
    <x v="1"/>
    <x v="1"/>
    <n v="0.15"/>
    <x v="2"/>
    <x v="0"/>
    <s v="عميل 1"/>
    <x v="1"/>
  </r>
  <r>
    <n v="10364"/>
    <s v="علي"/>
    <d v="2026-09-10T00:00:00"/>
    <x v="1"/>
    <x v="1"/>
    <x v="6"/>
    <x v="14"/>
    <x v="7"/>
    <x v="1"/>
    <n v="0.03"/>
    <x v="1"/>
    <x v="2"/>
    <s v="عميل 280"/>
    <x v="45"/>
  </r>
  <r>
    <n v="10365"/>
    <s v="مؤمن"/>
    <d v="2026-03-25T00:00:00"/>
    <x v="2"/>
    <x v="2"/>
    <x v="0"/>
    <x v="26"/>
    <x v="2"/>
    <x v="2"/>
    <n v="0.15"/>
    <x v="1"/>
    <x v="0"/>
    <s v="عميل 18"/>
    <x v="2"/>
  </r>
  <r>
    <n v="10366"/>
    <s v="محمد"/>
    <d v="2026-06-25T00:00:00"/>
    <x v="14"/>
    <x v="4"/>
    <x v="1"/>
    <x v="6"/>
    <x v="0"/>
    <x v="14"/>
    <n v="0"/>
    <x v="3"/>
    <x v="3"/>
    <s v="عميل 83"/>
    <x v="43"/>
  </r>
  <r>
    <n v="10367"/>
    <s v="حسن"/>
    <d v="2026-09-05T00:00:00"/>
    <x v="10"/>
    <x v="3"/>
    <x v="0"/>
    <x v="0"/>
    <x v="5"/>
    <x v="10"/>
    <n v="0.1"/>
    <x v="0"/>
    <x v="3"/>
    <s v="عميل 85"/>
    <x v="89"/>
  </r>
  <r>
    <n v="10368"/>
    <s v="محمود"/>
    <d v="2026-04-16T00:00:00"/>
    <x v="12"/>
    <x v="0"/>
    <x v="6"/>
    <x v="23"/>
    <x v="9"/>
    <x v="12"/>
    <n v="0"/>
    <x v="3"/>
    <x v="3"/>
    <s v="عميل 284"/>
    <x v="111"/>
  </r>
  <r>
    <n v="10369"/>
    <s v="مؤمن"/>
    <d v="2026-02-19T00:00:00"/>
    <x v="10"/>
    <x v="3"/>
    <x v="7"/>
    <x v="19"/>
    <x v="0"/>
    <x v="10"/>
    <n v="0.05"/>
    <x v="0"/>
    <x v="3"/>
    <s v="عميل 293"/>
    <x v="112"/>
  </r>
  <r>
    <n v="10370"/>
    <s v="أحمد"/>
    <d v="2026-08-07T00:00:00"/>
    <x v="7"/>
    <x v="0"/>
    <x v="4"/>
    <x v="7"/>
    <x v="9"/>
    <x v="7"/>
    <n v="0.05"/>
    <x v="0"/>
    <x v="2"/>
    <s v="عميل 246"/>
    <x v="31"/>
  </r>
  <r>
    <n v="10371"/>
    <s v="عمر"/>
    <d v="2026-02-11T00:00:00"/>
    <x v="5"/>
    <x v="4"/>
    <x v="0"/>
    <x v="0"/>
    <x v="1"/>
    <x v="5"/>
    <n v="0.03"/>
    <x v="1"/>
    <x v="0"/>
    <s v="عميل 158"/>
    <x v="5"/>
  </r>
  <r>
    <n v="10372"/>
    <s v="عمر"/>
    <d v="2026-02-16T00:00:00"/>
    <x v="4"/>
    <x v="3"/>
    <x v="6"/>
    <x v="14"/>
    <x v="6"/>
    <x v="4"/>
    <n v="0.15"/>
    <x v="1"/>
    <x v="1"/>
    <s v="عميل 190"/>
    <x v="18"/>
  </r>
  <r>
    <n v="10373"/>
    <s v="أحمد"/>
    <d v="2026-05-15T00:00:00"/>
    <x v="11"/>
    <x v="5"/>
    <x v="6"/>
    <x v="14"/>
    <x v="8"/>
    <x v="11"/>
    <n v="7.0000000000000007E-2"/>
    <x v="1"/>
    <x v="3"/>
    <s v="عميل 135"/>
    <x v="35"/>
  </r>
  <r>
    <n v="10374"/>
    <s v="محمد"/>
    <d v="2026-02-13T00:00:00"/>
    <x v="5"/>
    <x v="4"/>
    <x v="7"/>
    <x v="19"/>
    <x v="9"/>
    <x v="5"/>
    <n v="0.03"/>
    <x v="2"/>
    <x v="3"/>
    <s v="عميل 117"/>
    <x v="18"/>
  </r>
  <r>
    <n v="10375"/>
    <s v="مصطفى"/>
    <d v="2026-12-18T00:00:00"/>
    <x v="7"/>
    <x v="0"/>
    <x v="1"/>
    <x v="3"/>
    <x v="4"/>
    <x v="7"/>
    <n v="7.0000000000000007E-2"/>
    <x v="1"/>
    <x v="1"/>
    <s v="عميل 244"/>
    <x v="85"/>
  </r>
  <r>
    <n v="10376"/>
    <s v="حسن"/>
    <d v="2026-09-22T00:00:00"/>
    <x v="14"/>
    <x v="4"/>
    <x v="0"/>
    <x v="26"/>
    <x v="9"/>
    <x v="14"/>
    <n v="0.1"/>
    <x v="3"/>
    <x v="0"/>
    <s v="عميل 230"/>
    <x v="32"/>
  </r>
  <r>
    <n v="10377"/>
    <s v="أحمد"/>
    <d v="2026-08-05T00:00:00"/>
    <x v="3"/>
    <x v="1"/>
    <x v="5"/>
    <x v="25"/>
    <x v="1"/>
    <x v="3"/>
    <n v="0.03"/>
    <x v="0"/>
    <x v="3"/>
    <s v="عميل 104"/>
    <x v="22"/>
  </r>
  <r>
    <n v="10378"/>
    <s v="محمد"/>
    <d v="2026-02-14T00:00:00"/>
    <x v="8"/>
    <x v="4"/>
    <x v="5"/>
    <x v="21"/>
    <x v="5"/>
    <x v="8"/>
    <n v="0.15"/>
    <x v="1"/>
    <x v="3"/>
    <s v="عميل 283"/>
    <x v="8"/>
  </r>
  <r>
    <n v="10379"/>
    <s v="حسن"/>
    <d v="2026-10-28T00:00:00"/>
    <x v="9"/>
    <x v="4"/>
    <x v="7"/>
    <x v="19"/>
    <x v="6"/>
    <x v="9"/>
    <n v="0"/>
    <x v="1"/>
    <x v="0"/>
    <s v="عميل 213"/>
    <x v="20"/>
  </r>
  <r>
    <n v="10380"/>
    <s v="محمد"/>
    <d v="2026-05-27T00:00:00"/>
    <x v="3"/>
    <x v="1"/>
    <x v="5"/>
    <x v="9"/>
    <x v="3"/>
    <x v="3"/>
    <n v="0.1"/>
    <x v="2"/>
    <x v="3"/>
    <s v="عميل 136"/>
    <x v="3"/>
  </r>
  <r>
    <n v="10381"/>
    <s v="أحمد"/>
    <d v="2026-03-30T00:00:00"/>
    <x v="2"/>
    <x v="2"/>
    <x v="4"/>
    <x v="11"/>
    <x v="2"/>
    <x v="2"/>
    <n v="7.0000000000000007E-2"/>
    <x v="2"/>
    <x v="3"/>
    <s v="عميل 74"/>
    <x v="2"/>
  </r>
  <r>
    <n v="10382"/>
    <s v="مؤمن"/>
    <d v="2026-01-26T00:00:00"/>
    <x v="12"/>
    <x v="0"/>
    <x v="6"/>
    <x v="23"/>
    <x v="7"/>
    <x v="12"/>
    <n v="0.05"/>
    <x v="1"/>
    <x v="2"/>
    <s v="عميل 191"/>
    <x v="26"/>
  </r>
  <r>
    <n v="10383"/>
    <s v="كريم"/>
    <d v="2026-12-23T00:00:00"/>
    <x v="1"/>
    <x v="1"/>
    <x v="3"/>
    <x v="17"/>
    <x v="0"/>
    <x v="1"/>
    <n v="0.05"/>
    <x v="0"/>
    <x v="1"/>
    <s v="عميل 69"/>
    <x v="72"/>
  </r>
  <r>
    <n v="10384"/>
    <s v="علي"/>
    <d v="2026-11-06T00:00:00"/>
    <x v="14"/>
    <x v="4"/>
    <x v="4"/>
    <x v="20"/>
    <x v="0"/>
    <x v="14"/>
    <n v="0.15"/>
    <x v="0"/>
    <x v="1"/>
    <s v="عميل 227"/>
    <x v="43"/>
  </r>
  <r>
    <n v="10385"/>
    <s v="محمود"/>
    <d v="2026-01-29T00:00:00"/>
    <x v="5"/>
    <x v="4"/>
    <x v="6"/>
    <x v="22"/>
    <x v="6"/>
    <x v="5"/>
    <n v="0.1"/>
    <x v="3"/>
    <x v="0"/>
    <s v="عميل 160"/>
    <x v="56"/>
  </r>
  <r>
    <n v="10386"/>
    <s v="أحمد"/>
    <d v="2026-03-30T00:00:00"/>
    <x v="10"/>
    <x v="3"/>
    <x v="6"/>
    <x v="23"/>
    <x v="4"/>
    <x v="10"/>
    <n v="0.1"/>
    <x v="3"/>
    <x v="1"/>
    <s v="عميل 30"/>
    <x v="37"/>
  </r>
  <r>
    <n v="10387"/>
    <s v="مؤمن"/>
    <d v="2026-05-21T00:00:00"/>
    <x v="5"/>
    <x v="4"/>
    <x v="1"/>
    <x v="3"/>
    <x v="9"/>
    <x v="5"/>
    <n v="0.05"/>
    <x v="2"/>
    <x v="3"/>
    <s v="عميل 259"/>
    <x v="18"/>
  </r>
  <r>
    <n v="10388"/>
    <s v="كريم"/>
    <d v="2026-11-01T00:00:00"/>
    <x v="2"/>
    <x v="2"/>
    <x v="0"/>
    <x v="0"/>
    <x v="1"/>
    <x v="2"/>
    <n v="0.05"/>
    <x v="1"/>
    <x v="1"/>
    <s v="عميل 243"/>
    <x v="93"/>
  </r>
  <r>
    <n v="10389"/>
    <s v="محمد"/>
    <d v="2026-05-26T00:00:00"/>
    <x v="12"/>
    <x v="0"/>
    <x v="3"/>
    <x v="17"/>
    <x v="8"/>
    <x v="12"/>
    <n v="0.05"/>
    <x v="0"/>
    <x v="3"/>
    <s v="عميل 26"/>
    <x v="119"/>
  </r>
  <r>
    <n v="10390"/>
    <s v="مؤمن"/>
    <d v="2026-05-18T00:00:00"/>
    <x v="3"/>
    <x v="1"/>
    <x v="2"/>
    <x v="5"/>
    <x v="1"/>
    <x v="3"/>
    <n v="0.15"/>
    <x v="1"/>
    <x v="0"/>
    <s v="عميل 5"/>
    <x v="22"/>
  </r>
  <r>
    <n v="10391"/>
    <s v="مؤمن"/>
    <d v="2026-05-10T00:00:00"/>
    <x v="6"/>
    <x v="2"/>
    <x v="5"/>
    <x v="25"/>
    <x v="2"/>
    <x v="6"/>
    <n v="0"/>
    <x v="2"/>
    <x v="2"/>
    <s v="عميل 217"/>
    <x v="114"/>
  </r>
  <r>
    <n v="10392"/>
    <s v="مؤمن"/>
    <d v="2026-08-27T00:00:00"/>
    <x v="11"/>
    <x v="5"/>
    <x v="6"/>
    <x v="14"/>
    <x v="6"/>
    <x v="11"/>
    <n v="0.05"/>
    <x v="2"/>
    <x v="3"/>
    <s v="عميل 300"/>
    <x v="62"/>
  </r>
  <r>
    <n v="10393"/>
    <s v="حسن"/>
    <d v="2026-11-08T00:00:00"/>
    <x v="13"/>
    <x v="1"/>
    <x v="1"/>
    <x v="6"/>
    <x v="4"/>
    <x v="13"/>
    <n v="0.15"/>
    <x v="2"/>
    <x v="2"/>
    <s v="عميل 56"/>
    <x v="117"/>
  </r>
  <r>
    <n v="10394"/>
    <s v="محمود"/>
    <d v="2026-05-22T00:00:00"/>
    <x v="6"/>
    <x v="2"/>
    <x v="0"/>
    <x v="13"/>
    <x v="0"/>
    <x v="6"/>
    <n v="0.15"/>
    <x v="2"/>
    <x v="2"/>
    <s v="عميل 97"/>
    <x v="52"/>
  </r>
  <r>
    <n v="10395"/>
    <s v="محمود"/>
    <d v="2026-12-15T00:00:00"/>
    <x v="3"/>
    <x v="1"/>
    <x v="2"/>
    <x v="5"/>
    <x v="2"/>
    <x v="3"/>
    <n v="7.0000000000000007E-2"/>
    <x v="3"/>
    <x v="0"/>
    <s v="عميل 255"/>
    <x v="68"/>
  </r>
  <r>
    <n v="10396"/>
    <s v="أحمد"/>
    <d v="2026-10-26T00:00:00"/>
    <x v="14"/>
    <x v="4"/>
    <x v="7"/>
    <x v="15"/>
    <x v="7"/>
    <x v="14"/>
    <n v="7.0000000000000007E-2"/>
    <x v="3"/>
    <x v="2"/>
    <s v="عميل 114"/>
    <x v="84"/>
  </r>
  <r>
    <n v="10397"/>
    <s v="عمر"/>
    <d v="2026-03-29T00:00:00"/>
    <x v="0"/>
    <x v="0"/>
    <x v="4"/>
    <x v="11"/>
    <x v="5"/>
    <x v="0"/>
    <n v="0.1"/>
    <x v="3"/>
    <x v="2"/>
    <s v="عميل 50"/>
    <x v="28"/>
  </r>
  <r>
    <n v="10398"/>
    <s v="محمود"/>
    <d v="2026-12-02T00:00:00"/>
    <x v="6"/>
    <x v="2"/>
    <x v="5"/>
    <x v="21"/>
    <x v="4"/>
    <x v="6"/>
    <n v="0.03"/>
    <x v="0"/>
    <x v="1"/>
    <s v="عميل 182"/>
    <x v="13"/>
  </r>
  <r>
    <n v="10399"/>
    <s v="عمر"/>
    <d v="2026-10-27T00:00:00"/>
    <x v="5"/>
    <x v="4"/>
    <x v="7"/>
    <x v="15"/>
    <x v="5"/>
    <x v="5"/>
    <n v="0.05"/>
    <x v="2"/>
    <x v="3"/>
    <s v="عميل 61"/>
    <x v="29"/>
  </r>
  <r>
    <n v="10400"/>
    <s v="مصطفى"/>
    <d v="2026-03-03T00:00:00"/>
    <x v="6"/>
    <x v="2"/>
    <x v="1"/>
    <x v="1"/>
    <x v="6"/>
    <x v="6"/>
    <n v="0.03"/>
    <x v="1"/>
    <x v="2"/>
    <s v="عميل 212"/>
    <x v="47"/>
  </r>
  <r>
    <n v="10401"/>
    <s v="علي"/>
    <d v="2026-10-19T00:00:00"/>
    <x v="1"/>
    <x v="1"/>
    <x v="5"/>
    <x v="25"/>
    <x v="1"/>
    <x v="1"/>
    <n v="0.05"/>
    <x v="1"/>
    <x v="1"/>
    <s v="عميل 162"/>
    <x v="1"/>
  </r>
  <r>
    <n v="10402"/>
    <s v="يوسف"/>
    <d v="2026-06-10T00:00:00"/>
    <x v="8"/>
    <x v="4"/>
    <x v="5"/>
    <x v="9"/>
    <x v="6"/>
    <x v="8"/>
    <n v="0.05"/>
    <x v="0"/>
    <x v="0"/>
    <s v="عميل 232"/>
    <x v="91"/>
  </r>
  <r>
    <n v="10403"/>
    <s v="كريم"/>
    <d v="2026-02-15T00:00:00"/>
    <x v="14"/>
    <x v="4"/>
    <x v="2"/>
    <x v="5"/>
    <x v="2"/>
    <x v="14"/>
    <n v="0.03"/>
    <x v="3"/>
    <x v="3"/>
    <s v="عميل 220"/>
    <x v="58"/>
  </r>
  <r>
    <n v="10404"/>
    <s v="أحمد"/>
    <d v="2026-10-01T00:00:00"/>
    <x v="2"/>
    <x v="2"/>
    <x v="6"/>
    <x v="14"/>
    <x v="7"/>
    <x v="2"/>
    <n v="0"/>
    <x v="3"/>
    <x v="2"/>
    <s v="عميل 8"/>
    <x v="101"/>
  </r>
  <r>
    <n v="10405"/>
    <s v="أحمد"/>
    <d v="2026-11-17T00:00:00"/>
    <x v="11"/>
    <x v="5"/>
    <x v="3"/>
    <x v="24"/>
    <x v="1"/>
    <x v="11"/>
    <n v="0"/>
    <x v="3"/>
    <x v="1"/>
    <s v="عميل 177"/>
    <x v="102"/>
  </r>
  <r>
    <n v="10406"/>
    <s v="حسن"/>
    <d v="2026-06-06T00:00:00"/>
    <x v="14"/>
    <x v="4"/>
    <x v="5"/>
    <x v="9"/>
    <x v="7"/>
    <x v="14"/>
    <n v="0.1"/>
    <x v="3"/>
    <x v="0"/>
    <s v="عميل 24"/>
    <x v="84"/>
  </r>
  <r>
    <n v="10407"/>
    <s v="مصطفى"/>
    <d v="2026-06-22T00:00:00"/>
    <x v="14"/>
    <x v="4"/>
    <x v="7"/>
    <x v="15"/>
    <x v="4"/>
    <x v="14"/>
    <n v="0.1"/>
    <x v="1"/>
    <x v="1"/>
    <s v="عميل 176"/>
    <x v="92"/>
  </r>
  <r>
    <n v="10408"/>
    <s v="علي"/>
    <d v="2026-01-10T00:00:00"/>
    <x v="11"/>
    <x v="5"/>
    <x v="4"/>
    <x v="20"/>
    <x v="1"/>
    <x v="11"/>
    <n v="0.03"/>
    <x v="3"/>
    <x v="1"/>
    <s v="عميل 68"/>
    <x v="102"/>
  </r>
  <r>
    <n v="10409"/>
    <s v="أحمد"/>
    <d v="2026-07-12T00:00:00"/>
    <x v="5"/>
    <x v="4"/>
    <x v="1"/>
    <x v="10"/>
    <x v="3"/>
    <x v="5"/>
    <n v="0.05"/>
    <x v="2"/>
    <x v="0"/>
    <s v="عميل 25"/>
    <x v="82"/>
  </r>
  <r>
    <n v="10410"/>
    <s v="محمد"/>
    <d v="2026-08-02T00:00:00"/>
    <x v="0"/>
    <x v="0"/>
    <x v="0"/>
    <x v="0"/>
    <x v="9"/>
    <x v="0"/>
    <n v="0.15"/>
    <x v="1"/>
    <x v="3"/>
    <s v="عميل 64"/>
    <x v="83"/>
  </r>
  <r>
    <n v="10411"/>
    <s v="أحمد"/>
    <d v="2026-06-04T00:00:00"/>
    <x v="7"/>
    <x v="0"/>
    <x v="7"/>
    <x v="15"/>
    <x v="8"/>
    <x v="7"/>
    <n v="0.03"/>
    <x v="1"/>
    <x v="0"/>
    <s v="عميل 267"/>
    <x v="56"/>
  </r>
  <r>
    <n v="10412"/>
    <s v="حسن"/>
    <d v="2026-03-02T00:00:00"/>
    <x v="14"/>
    <x v="4"/>
    <x v="5"/>
    <x v="8"/>
    <x v="3"/>
    <x v="14"/>
    <n v="0.1"/>
    <x v="2"/>
    <x v="0"/>
    <s v="عميل 55"/>
    <x v="66"/>
  </r>
  <r>
    <n v="10413"/>
    <s v="مصطفى"/>
    <d v="2026-04-14T00:00:00"/>
    <x v="6"/>
    <x v="2"/>
    <x v="2"/>
    <x v="12"/>
    <x v="1"/>
    <x v="6"/>
    <n v="0.05"/>
    <x v="2"/>
    <x v="3"/>
    <s v="عميل 152"/>
    <x v="39"/>
  </r>
  <r>
    <n v="10414"/>
    <s v="كريم"/>
    <d v="2026-06-19T00:00:00"/>
    <x v="3"/>
    <x v="1"/>
    <x v="1"/>
    <x v="3"/>
    <x v="1"/>
    <x v="3"/>
    <n v="0.15"/>
    <x v="3"/>
    <x v="0"/>
    <s v="عميل 7"/>
    <x v="22"/>
  </r>
  <r>
    <n v="10415"/>
    <s v="كريم"/>
    <d v="2026-03-18T00:00:00"/>
    <x v="0"/>
    <x v="0"/>
    <x v="0"/>
    <x v="0"/>
    <x v="2"/>
    <x v="0"/>
    <n v="0.15"/>
    <x v="0"/>
    <x v="0"/>
    <s v="عميل 52"/>
    <x v="11"/>
  </r>
  <r>
    <n v="10416"/>
    <s v="عمر"/>
    <d v="2026-05-16T00:00:00"/>
    <x v="11"/>
    <x v="5"/>
    <x v="7"/>
    <x v="19"/>
    <x v="1"/>
    <x v="11"/>
    <n v="7.0000000000000007E-2"/>
    <x v="1"/>
    <x v="0"/>
    <s v="عميل 52"/>
    <x v="102"/>
  </r>
  <r>
    <n v="10417"/>
    <s v="محمود"/>
    <d v="2026-08-07T00:00:00"/>
    <x v="8"/>
    <x v="4"/>
    <x v="5"/>
    <x v="9"/>
    <x v="0"/>
    <x v="8"/>
    <n v="0.05"/>
    <x v="0"/>
    <x v="0"/>
    <s v="عميل 24"/>
    <x v="50"/>
  </r>
  <r>
    <n v="10418"/>
    <s v="كريم"/>
    <d v="2026-11-15T00:00:00"/>
    <x v="1"/>
    <x v="1"/>
    <x v="5"/>
    <x v="25"/>
    <x v="5"/>
    <x v="1"/>
    <n v="0.05"/>
    <x v="2"/>
    <x v="0"/>
    <s v="عميل 191"/>
    <x v="64"/>
  </r>
  <r>
    <n v="10419"/>
    <s v="علي"/>
    <d v="2026-08-22T00:00:00"/>
    <x v="8"/>
    <x v="4"/>
    <x v="3"/>
    <x v="4"/>
    <x v="3"/>
    <x v="8"/>
    <n v="7.0000000000000007E-2"/>
    <x v="2"/>
    <x v="3"/>
    <s v="عميل 245"/>
    <x v="108"/>
  </r>
  <r>
    <n v="10420"/>
    <s v="يوسف"/>
    <d v="2026-12-23T00:00:00"/>
    <x v="4"/>
    <x v="3"/>
    <x v="6"/>
    <x v="22"/>
    <x v="8"/>
    <x v="4"/>
    <n v="0"/>
    <x v="0"/>
    <x v="1"/>
    <s v="عميل 54"/>
    <x v="32"/>
  </r>
  <r>
    <n v="10421"/>
    <s v="حسن"/>
    <d v="2026-07-14T00:00:00"/>
    <x v="2"/>
    <x v="2"/>
    <x v="4"/>
    <x v="11"/>
    <x v="6"/>
    <x v="2"/>
    <n v="0.03"/>
    <x v="2"/>
    <x v="0"/>
    <s v="عميل 67"/>
    <x v="42"/>
  </r>
  <r>
    <n v="10422"/>
    <s v="أحمد"/>
    <d v="2026-02-02T00:00:00"/>
    <x v="6"/>
    <x v="2"/>
    <x v="4"/>
    <x v="7"/>
    <x v="7"/>
    <x v="6"/>
    <n v="7.0000000000000007E-2"/>
    <x v="2"/>
    <x v="2"/>
    <s v="عميل 7"/>
    <x v="60"/>
  </r>
  <r>
    <n v="10423"/>
    <s v="مصطفى"/>
    <d v="2026-12-19T00:00:00"/>
    <x v="10"/>
    <x v="3"/>
    <x v="2"/>
    <x v="12"/>
    <x v="5"/>
    <x v="10"/>
    <n v="0.1"/>
    <x v="0"/>
    <x v="3"/>
    <s v="عميل 128"/>
    <x v="89"/>
  </r>
  <r>
    <n v="10424"/>
    <s v="مصطفى"/>
    <d v="2026-11-10T00:00:00"/>
    <x v="6"/>
    <x v="2"/>
    <x v="3"/>
    <x v="24"/>
    <x v="7"/>
    <x v="6"/>
    <n v="0.03"/>
    <x v="0"/>
    <x v="0"/>
    <s v="عميل 81"/>
    <x v="60"/>
  </r>
  <r>
    <n v="10425"/>
    <s v="كريم"/>
    <d v="2026-06-14T00:00:00"/>
    <x v="7"/>
    <x v="0"/>
    <x v="4"/>
    <x v="20"/>
    <x v="8"/>
    <x v="7"/>
    <n v="0"/>
    <x v="3"/>
    <x v="2"/>
    <s v="عميل 143"/>
    <x v="56"/>
  </r>
  <r>
    <n v="10426"/>
    <s v="مؤمن"/>
    <d v="2026-02-10T00:00:00"/>
    <x v="1"/>
    <x v="1"/>
    <x v="2"/>
    <x v="12"/>
    <x v="7"/>
    <x v="1"/>
    <n v="7.0000000000000007E-2"/>
    <x v="1"/>
    <x v="3"/>
    <s v="عميل 294"/>
    <x v="45"/>
  </r>
  <r>
    <n v="10427"/>
    <s v="محمد"/>
    <d v="2026-09-12T00:00:00"/>
    <x v="6"/>
    <x v="2"/>
    <x v="0"/>
    <x v="26"/>
    <x v="6"/>
    <x v="6"/>
    <n v="0.05"/>
    <x v="0"/>
    <x v="0"/>
    <s v="عميل 207"/>
    <x v="47"/>
  </r>
  <r>
    <n v="10428"/>
    <s v="حسن"/>
    <d v="2026-11-23T00:00:00"/>
    <x v="2"/>
    <x v="2"/>
    <x v="1"/>
    <x v="1"/>
    <x v="3"/>
    <x v="2"/>
    <n v="0.1"/>
    <x v="2"/>
    <x v="1"/>
    <s v="عميل 234"/>
    <x v="104"/>
  </r>
  <r>
    <n v="10429"/>
    <s v="محمود"/>
    <d v="2026-10-14T00:00:00"/>
    <x v="9"/>
    <x v="4"/>
    <x v="3"/>
    <x v="4"/>
    <x v="1"/>
    <x v="9"/>
    <n v="7.0000000000000007E-2"/>
    <x v="1"/>
    <x v="2"/>
    <s v="عميل 232"/>
    <x v="29"/>
  </r>
  <r>
    <n v="10430"/>
    <s v="محمود"/>
    <d v="2026-11-21T00:00:00"/>
    <x v="13"/>
    <x v="1"/>
    <x v="0"/>
    <x v="16"/>
    <x v="9"/>
    <x v="13"/>
    <n v="0.05"/>
    <x v="2"/>
    <x v="2"/>
    <s v="عميل 55"/>
    <x v="80"/>
  </r>
  <r>
    <n v="10431"/>
    <s v="علي"/>
    <d v="2026-02-24T00:00:00"/>
    <x v="1"/>
    <x v="1"/>
    <x v="5"/>
    <x v="8"/>
    <x v="8"/>
    <x v="1"/>
    <n v="0.15"/>
    <x v="2"/>
    <x v="1"/>
    <s v="عميل 97"/>
    <x v="2"/>
  </r>
  <r>
    <n v="10432"/>
    <s v="محمود"/>
    <d v="2026-02-25T00:00:00"/>
    <x v="13"/>
    <x v="1"/>
    <x v="6"/>
    <x v="23"/>
    <x v="6"/>
    <x v="13"/>
    <n v="0.03"/>
    <x v="1"/>
    <x v="0"/>
    <s v="عميل 64"/>
    <x v="73"/>
  </r>
  <r>
    <n v="10433"/>
    <s v="يوسف"/>
    <d v="2026-09-13T00:00:00"/>
    <x v="4"/>
    <x v="3"/>
    <x v="4"/>
    <x v="20"/>
    <x v="2"/>
    <x v="4"/>
    <n v="0.1"/>
    <x v="0"/>
    <x v="0"/>
    <s v="عميل 284"/>
    <x v="116"/>
  </r>
  <r>
    <n v="10434"/>
    <s v="يوسف"/>
    <d v="2026-12-21T00:00:00"/>
    <x v="11"/>
    <x v="5"/>
    <x v="6"/>
    <x v="22"/>
    <x v="6"/>
    <x v="11"/>
    <n v="0.1"/>
    <x v="3"/>
    <x v="1"/>
    <s v="عميل 54"/>
    <x v="62"/>
  </r>
  <r>
    <n v="10435"/>
    <s v="حسن"/>
    <d v="2026-12-21T00:00:00"/>
    <x v="2"/>
    <x v="2"/>
    <x v="3"/>
    <x v="24"/>
    <x v="7"/>
    <x v="2"/>
    <n v="7.0000000000000007E-2"/>
    <x v="3"/>
    <x v="2"/>
    <s v="عميل 204"/>
    <x v="101"/>
  </r>
  <r>
    <n v="10436"/>
    <s v="علي"/>
    <d v="2026-11-05T00:00:00"/>
    <x v="9"/>
    <x v="4"/>
    <x v="7"/>
    <x v="15"/>
    <x v="8"/>
    <x v="9"/>
    <n v="0.03"/>
    <x v="2"/>
    <x v="2"/>
    <s v="عميل 284"/>
    <x v="86"/>
  </r>
  <r>
    <n v="10437"/>
    <s v="عمر"/>
    <d v="2026-12-18T00:00:00"/>
    <x v="0"/>
    <x v="0"/>
    <x v="2"/>
    <x v="5"/>
    <x v="1"/>
    <x v="0"/>
    <n v="0.1"/>
    <x v="2"/>
    <x v="1"/>
    <s v="عميل 92"/>
    <x v="27"/>
  </r>
  <r>
    <n v="10438"/>
    <s v="مصطفى"/>
    <d v="2026-09-03T00:00:00"/>
    <x v="7"/>
    <x v="0"/>
    <x v="3"/>
    <x v="24"/>
    <x v="3"/>
    <x v="7"/>
    <n v="0.05"/>
    <x v="1"/>
    <x v="2"/>
    <s v="عميل 217"/>
    <x v="51"/>
  </r>
  <r>
    <n v="10439"/>
    <s v="يوسف"/>
    <d v="2026-01-28T00:00:00"/>
    <x v="4"/>
    <x v="3"/>
    <x v="1"/>
    <x v="1"/>
    <x v="9"/>
    <x v="4"/>
    <n v="7.0000000000000007E-2"/>
    <x v="0"/>
    <x v="1"/>
    <s v="عميل 137"/>
    <x v="113"/>
  </r>
  <r>
    <n v="10440"/>
    <s v="أحمد"/>
    <d v="2026-12-20T00:00:00"/>
    <x v="4"/>
    <x v="3"/>
    <x v="5"/>
    <x v="21"/>
    <x v="0"/>
    <x v="4"/>
    <n v="0.03"/>
    <x v="2"/>
    <x v="1"/>
    <s v="عميل 278"/>
    <x v="17"/>
  </r>
  <r>
    <n v="10441"/>
    <s v="مصطفى"/>
    <d v="2026-04-25T00:00:00"/>
    <x v="1"/>
    <x v="1"/>
    <x v="3"/>
    <x v="17"/>
    <x v="3"/>
    <x v="1"/>
    <n v="0.1"/>
    <x v="1"/>
    <x v="1"/>
    <s v="عميل 262"/>
    <x v="120"/>
  </r>
  <r>
    <n v="10442"/>
    <s v="علي"/>
    <d v="2026-08-02T00:00:00"/>
    <x v="4"/>
    <x v="3"/>
    <x v="7"/>
    <x v="19"/>
    <x v="9"/>
    <x v="4"/>
    <n v="7.0000000000000007E-2"/>
    <x v="2"/>
    <x v="0"/>
    <s v="عميل 7"/>
    <x v="113"/>
  </r>
  <r>
    <n v="10443"/>
    <s v="مؤمن"/>
    <d v="2026-11-21T00:00:00"/>
    <x v="10"/>
    <x v="3"/>
    <x v="7"/>
    <x v="18"/>
    <x v="2"/>
    <x v="10"/>
    <n v="7.0000000000000007E-2"/>
    <x v="2"/>
    <x v="1"/>
    <s v="عميل 100"/>
    <x v="103"/>
  </r>
  <r>
    <n v="10444"/>
    <s v="يوسف"/>
    <d v="2026-09-21T00:00:00"/>
    <x v="14"/>
    <x v="4"/>
    <x v="4"/>
    <x v="7"/>
    <x v="3"/>
    <x v="14"/>
    <n v="0.03"/>
    <x v="0"/>
    <x v="3"/>
    <s v="عميل 21"/>
    <x v="66"/>
  </r>
  <r>
    <n v="10445"/>
    <s v="يوسف"/>
    <d v="2026-10-27T00:00:00"/>
    <x v="2"/>
    <x v="2"/>
    <x v="7"/>
    <x v="19"/>
    <x v="0"/>
    <x v="2"/>
    <n v="0.03"/>
    <x v="2"/>
    <x v="0"/>
    <s v="عميل 170"/>
    <x v="9"/>
  </r>
  <r>
    <n v="10446"/>
    <s v="حسن"/>
    <d v="2026-01-27T00:00:00"/>
    <x v="6"/>
    <x v="2"/>
    <x v="5"/>
    <x v="9"/>
    <x v="8"/>
    <x v="6"/>
    <n v="0.05"/>
    <x v="2"/>
    <x v="3"/>
    <s v="عميل 294"/>
    <x v="57"/>
  </r>
  <r>
    <n v="10447"/>
    <s v="مؤمن"/>
    <d v="2026-04-05T00:00:00"/>
    <x v="7"/>
    <x v="0"/>
    <x v="3"/>
    <x v="4"/>
    <x v="5"/>
    <x v="7"/>
    <n v="0.1"/>
    <x v="0"/>
    <x v="1"/>
    <s v="عميل 213"/>
    <x v="69"/>
  </r>
  <r>
    <n v="10448"/>
    <s v="مؤمن"/>
    <d v="2026-12-06T00:00:00"/>
    <x v="7"/>
    <x v="0"/>
    <x v="6"/>
    <x v="23"/>
    <x v="5"/>
    <x v="7"/>
    <n v="0.03"/>
    <x v="2"/>
    <x v="2"/>
    <s v="عميل 185"/>
    <x v="69"/>
  </r>
  <r>
    <n v="10449"/>
    <s v="مصطفى"/>
    <d v="2026-11-29T00:00:00"/>
    <x v="14"/>
    <x v="4"/>
    <x v="2"/>
    <x v="12"/>
    <x v="4"/>
    <x v="14"/>
    <n v="7.0000000000000007E-2"/>
    <x v="0"/>
    <x v="0"/>
    <s v="عميل 178"/>
    <x v="92"/>
  </r>
  <r>
    <n v="10450"/>
    <s v="مؤمن"/>
    <d v="2026-01-21T00:00:00"/>
    <x v="6"/>
    <x v="2"/>
    <x v="2"/>
    <x v="12"/>
    <x v="2"/>
    <x v="6"/>
    <n v="0.1"/>
    <x v="2"/>
    <x v="3"/>
    <s v="عميل 59"/>
    <x v="114"/>
  </r>
  <r>
    <n v="10451"/>
    <s v="مصطفى"/>
    <d v="2026-07-11T00:00:00"/>
    <x v="2"/>
    <x v="2"/>
    <x v="7"/>
    <x v="19"/>
    <x v="0"/>
    <x v="2"/>
    <n v="0"/>
    <x v="1"/>
    <x v="3"/>
    <s v="عميل 23"/>
    <x v="9"/>
  </r>
  <r>
    <n v="10452"/>
    <s v="محمد"/>
    <d v="2026-03-27T00:00:00"/>
    <x v="14"/>
    <x v="4"/>
    <x v="2"/>
    <x v="2"/>
    <x v="4"/>
    <x v="14"/>
    <n v="0"/>
    <x v="0"/>
    <x v="0"/>
    <s v="عميل 108"/>
    <x v="92"/>
  </r>
  <r>
    <n v="10453"/>
    <s v="مؤمن"/>
    <d v="2026-10-03T00:00:00"/>
    <x v="0"/>
    <x v="0"/>
    <x v="2"/>
    <x v="12"/>
    <x v="7"/>
    <x v="0"/>
    <n v="0"/>
    <x v="1"/>
    <x v="0"/>
    <s v="عميل 79"/>
    <x v="79"/>
  </r>
  <r>
    <n v="10454"/>
    <s v="محمد"/>
    <d v="2026-02-07T00:00:00"/>
    <x v="1"/>
    <x v="1"/>
    <x v="4"/>
    <x v="11"/>
    <x v="5"/>
    <x v="1"/>
    <n v="0"/>
    <x v="0"/>
    <x v="1"/>
    <s v="عميل 129"/>
    <x v="64"/>
  </r>
  <r>
    <n v="10455"/>
    <s v="علي"/>
    <d v="2026-08-19T00:00:00"/>
    <x v="7"/>
    <x v="0"/>
    <x v="0"/>
    <x v="16"/>
    <x v="0"/>
    <x v="7"/>
    <n v="7.0000000000000007E-2"/>
    <x v="1"/>
    <x v="3"/>
    <s v="عميل 162"/>
    <x v="121"/>
  </r>
  <r>
    <n v="10456"/>
    <s v="أحمد"/>
    <d v="2026-11-25T00:00:00"/>
    <x v="1"/>
    <x v="1"/>
    <x v="6"/>
    <x v="22"/>
    <x v="3"/>
    <x v="1"/>
    <n v="0.1"/>
    <x v="0"/>
    <x v="0"/>
    <s v="عميل 38"/>
    <x v="120"/>
  </r>
  <r>
    <n v="10457"/>
    <s v="محمد"/>
    <d v="2026-05-25T00:00:00"/>
    <x v="9"/>
    <x v="4"/>
    <x v="0"/>
    <x v="13"/>
    <x v="0"/>
    <x v="9"/>
    <n v="0.1"/>
    <x v="1"/>
    <x v="3"/>
    <s v="عميل 203"/>
    <x v="36"/>
  </r>
  <r>
    <n v="10458"/>
    <s v="مؤمن"/>
    <d v="2026-03-11T00:00:00"/>
    <x v="8"/>
    <x v="4"/>
    <x v="1"/>
    <x v="3"/>
    <x v="8"/>
    <x v="8"/>
    <n v="0.1"/>
    <x v="1"/>
    <x v="2"/>
    <s v="عميل 74"/>
    <x v="95"/>
  </r>
  <r>
    <n v="10459"/>
    <s v="يوسف"/>
    <d v="2026-03-05T00:00:00"/>
    <x v="14"/>
    <x v="4"/>
    <x v="3"/>
    <x v="4"/>
    <x v="4"/>
    <x v="14"/>
    <n v="0.1"/>
    <x v="0"/>
    <x v="0"/>
    <s v="عميل 294"/>
    <x v="92"/>
  </r>
  <r>
    <n v="10460"/>
    <s v="عمر"/>
    <d v="2026-04-18T00:00:00"/>
    <x v="12"/>
    <x v="0"/>
    <x v="6"/>
    <x v="22"/>
    <x v="4"/>
    <x v="12"/>
    <n v="0"/>
    <x v="2"/>
    <x v="1"/>
    <s v="عميل 212"/>
    <x v="87"/>
  </r>
  <r>
    <n v="10461"/>
    <s v="حسن"/>
    <d v="2026-05-10T00:00:00"/>
    <x v="11"/>
    <x v="5"/>
    <x v="5"/>
    <x v="25"/>
    <x v="8"/>
    <x v="11"/>
    <n v="0.03"/>
    <x v="3"/>
    <x v="0"/>
    <s v="عميل 93"/>
    <x v="35"/>
  </r>
  <r>
    <n v="10462"/>
    <s v="عمر"/>
    <d v="2026-12-10T00:00:00"/>
    <x v="0"/>
    <x v="0"/>
    <x v="1"/>
    <x v="3"/>
    <x v="4"/>
    <x v="0"/>
    <n v="0"/>
    <x v="0"/>
    <x v="2"/>
    <s v="عميل 51"/>
    <x v="100"/>
  </r>
  <r>
    <n v="10463"/>
    <s v="مؤمن"/>
    <d v="2026-02-21T00:00:00"/>
    <x v="5"/>
    <x v="4"/>
    <x v="4"/>
    <x v="20"/>
    <x v="5"/>
    <x v="5"/>
    <n v="0.03"/>
    <x v="2"/>
    <x v="0"/>
    <s v="عميل 100"/>
    <x v="29"/>
  </r>
  <r>
    <n v="10464"/>
    <s v="عمر"/>
    <d v="2026-12-22T00:00:00"/>
    <x v="9"/>
    <x v="4"/>
    <x v="4"/>
    <x v="20"/>
    <x v="5"/>
    <x v="9"/>
    <n v="0.1"/>
    <x v="3"/>
    <x v="2"/>
    <s v="عميل 162"/>
    <x v="110"/>
  </r>
  <r>
    <n v="10465"/>
    <s v="مؤمن"/>
    <d v="2026-12-31T00:00:00"/>
    <x v="2"/>
    <x v="2"/>
    <x v="5"/>
    <x v="9"/>
    <x v="5"/>
    <x v="2"/>
    <n v="0.03"/>
    <x v="1"/>
    <x v="2"/>
    <s v="عميل 185"/>
    <x v="52"/>
  </r>
  <r>
    <n v="10466"/>
    <s v="محمود"/>
    <d v="2026-06-06T00:00:00"/>
    <x v="3"/>
    <x v="1"/>
    <x v="3"/>
    <x v="17"/>
    <x v="6"/>
    <x v="3"/>
    <n v="7.0000000000000007E-2"/>
    <x v="1"/>
    <x v="0"/>
    <s v="عميل 90"/>
    <x v="122"/>
  </r>
  <r>
    <n v="10467"/>
    <s v="مؤمن"/>
    <d v="2026-05-15T00:00:00"/>
    <x v="0"/>
    <x v="0"/>
    <x v="0"/>
    <x v="13"/>
    <x v="8"/>
    <x v="0"/>
    <n v="0.1"/>
    <x v="0"/>
    <x v="0"/>
    <s v="عميل 10"/>
    <x v="16"/>
  </r>
  <r>
    <n v="10468"/>
    <s v="أحمد"/>
    <d v="2026-10-10T00:00:00"/>
    <x v="8"/>
    <x v="4"/>
    <x v="1"/>
    <x v="3"/>
    <x v="2"/>
    <x v="8"/>
    <n v="0.03"/>
    <x v="2"/>
    <x v="3"/>
    <s v="عميل 77"/>
    <x v="99"/>
  </r>
  <r>
    <n v="10469"/>
    <s v="عمر"/>
    <d v="2026-03-10T00:00:00"/>
    <x v="9"/>
    <x v="4"/>
    <x v="6"/>
    <x v="23"/>
    <x v="2"/>
    <x v="9"/>
    <n v="0.15"/>
    <x v="1"/>
    <x v="0"/>
    <s v="عميل 204"/>
    <x v="14"/>
  </r>
  <r>
    <n v="10470"/>
    <s v="يوسف"/>
    <d v="2026-09-21T00:00:00"/>
    <x v="9"/>
    <x v="4"/>
    <x v="1"/>
    <x v="10"/>
    <x v="2"/>
    <x v="9"/>
    <n v="0.15"/>
    <x v="3"/>
    <x v="3"/>
    <s v="عميل 82"/>
    <x v="14"/>
  </r>
  <r>
    <n v="10471"/>
    <s v="مؤمن"/>
    <d v="2026-09-07T00:00:00"/>
    <x v="3"/>
    <x v="1"/>
    <x v="5"/>
    <x v="8"/>
    <x v="5"/>
    <x v="3"/>
    <n v="0"/>
    <x v="3"/>
    <x v="0"/>
    <s v="عميل 136"/>
    <x v="81"/>
  </r>
  <r>
    <n v="10472"/>
    <s v="محمود"/>
    <d v="2026-07-18T00:00:00"/>
    <x v="9"/>
    <x v="4"/>
    <x v="2"/>
    <x v="5"/>
    <x v="1"/>
    <x v="9"/>
    <n v="0.1"/>
    <x v="1"/>
    <x v="3"/>
    <s v="عميل 24"/>
    <x v="29"/>
  </r>
  <r>
    <n v="10473"/>
    <s v="عمر"/>
    <d v="2026-05-15T00:00:00"/>
    <x v="1"/>
    <x v="1"/>
    <x v="3"/>
    <x v="4"/>
    <x v="4"/>
    <x v="1"/>
    <n v="0.15"/>
    <x v="3"/>
    <x v="3"/>
    <s v="عميل 194"/>
    <x v="25"/>
  </r>
  <r>
    <n v="10474"/>
    <s v="مصطفى"/>
    <d v="2026-07-27T00:00:00"/>
    <x v="9"/>
    <x v="4"/>
    <x v="0"/>
    <x v="13"/>
    <x v="7"/>
    <x v="9"/>
    <n v="0.03"/>
    <x v="2"/>
    <x v="2"/>
    <s v="عميل 250"/>
    <x v="12"/>
  </r>
  <r>
    <n v="10475"/>
    <s v="يوسف"/>
    <d v="2026-08-14T00:00:00"/>
    <x v="4"/>
    <x v="3"/>
    <x v="4"/>
    <x v="11"/>
    <x v="9"/>
    <x v="4"/>
    <n v="0.1"/>
    <x v="3"/>
    <x v="1"/>
    <s v="عميل 40"/>
    <x v="113"/>
  </r>
  <r>
    <n v="10476"/>
    <s v="يوسف"/>
    <d v="2026-07-05T00:00:00"/>
    <x v="7"/>
    <x v="0"/>
    <x v="7"/>
    <x v="18"/>
    <x v="8"/>
    <x v="7"/>
    <n v="0.03"/>
    <x v="0"/>
    <x v="1"/>
    <s v="عميل 213"/>
    <x v="56"/>
  </r>
  <r>
    <n v="10477"/>
    <s v="كريم"/>
    <d v="2026-09-03T00:00:00"/>
    <x v="4"/>
    <x v="3"/>
    <x v="3"/>
    <x v="24"/>
    <x v="3"/>
    <x v="4"/>
    <n v="7.0000000000000007E-2"/>
    <x v="3"/>
    <x v="1"/>
    <s v="عميل 211"/>
    <x v="123"/>
  </r>
  <r>
    <n v="10478"/>
    <s v="حسن"/>
    <d v="2026-03-24T00:00:00"/>
    <x v="1"/>
    <x v="1"/>
    <x v="2"/>
    <x v="5"/>
    <x v="8"/>
    <x v="1"/>
    <n v="0.1"/>
    <x v="3"/>
    <x v="0"/>
    <s v="عميل 294"/>
    <x v="2"/>
  </r>
  <r>
    <n v="10479"/>
    <s v="مصطفى"/>
    <d v="2026-07-27T00:00:00"/>
    <x v="3"/>
    <x v="1"/>
    <x v="1"/>
    <x v="10"/>
    <x v="0"/>
    <x v="3"/>
    <n v="0.03"/>
    <x v="0"/>
    <x v="2"/>
    <s v="عميل 44"/>
    <x v="88"/>
  </r>
  <r>
    <n v="10480"/>
    <s v="يوسف"/>
    <d v="2026-04-23T00:00:00"/>
    <x v="5"/>
    <x v="4"/>
    <x v="4"/>
    <x v="11"/>
    <x v="6"/>
    <x v="5"/>
    <n v="7.0000000000000007E-2"/>
    <x v="1"/>
    <x v="1"/>
    <s v="عميل 299"/>
    <x v="56"/>
  </r>
  <r>
    <n v="10481"/>
    <s v="محمود"/>
    <d v="2026-08-21T00:00:00"/>
    <x v="8"/>
    <x v="4"/>
    <x v="5"/>
    <x v="21"/>
    <x v="8"/>
    <x v="8"/>
    <n v="0.15"/>
    <x v="0"/>
    <x v="1"/>
    <s v="عميل 194"/>
    <x v="95"/>
  </r>
  <r>
    <n v="10482"/>
    <s v="مصطفى"/>
    <d v="2026-09-16T00:00:00"/>
    <x v="2"/>
    <x v="2"/>
    <x v="5"/>
    <x v="9"/>
    <x v="9"/>
    <x v="2"/>
    <n v="0.03"/>
    <x v="1"/>
    <x v="1"/>
    <s v="عميل 50"/>
    <x v="41"/>
  </r>
  <r>
    <n v="10483"/>
    <s v="مصطفى"/>
    <d v="2026-09-15T00:00:00"/>
    <x v="3"/>
    <x v="1"/>
    <x v="4"/>
    <x v="11"/>
    <x v="2"/>
    <x v="3"/>
    <n v="0"/>
    <x v="0"/>
    <x v="0"/>
    <s v="عميل 247"/>
    <x v="68"/>
  </r>
  <r>
    <n v="10484"/>
    <s v="علي"/>
    <d v="2026-07-09T00:00:00"/>
    <x v="0"/>
    <x v="0"/>
    <x v="5"/>
    <x v="9"/>
    <x v="7"/>
    <x v="0"/>
    <n v="0.1"/>
    <x v="0"/>
    <x v="3"/>
    <s v="عميل 118"/>
    <x v="79"/>
  </r>
  <r>
    <n v="10485"/>
    <s v="حسن"/>
    <d v="2026-02-20T00:00:00"/>
    <x v="4"/>
    <x v="3"/>
    <x v="4"/>
    <x v="20"/>
    <x v="5"/>
    <x v="4"/>
    <n v="0.1"/>
    <x v="1"/>
    <x v="1"/>
    <s v="عميل 131"/>
    <x v="66"/>
  </r>
  <r>
    <n v="10486"/>
    <s v="مصطفى"/>
    <d v="2026-07-29T00:00:00"/>
    <x v="6"/>
    <x v="2"/>
    <x v="2"/>
    <x v="5"/>
    <x v="0"/>
    <x v="6"/>
    <n v="0.1"/>
    <x v="2"/>
    <x v="1"/>
    <s v="عميل 3"/>
    <x v="52"/>
  </r>
  <r>
    <n v="10487"/>
    <s v="علي"/>
    <d v="2026-12-02T00:00:00"/>
    <x v="10"/>
    <x v="3"/>
    <x v="1"/>
    <x v="1"/>
    <x v="4"/>
    <x v="10"/>
    <n v="0"/>
    <x v="3"/>
    <x v="2"/>
    <s v="عميل 210"/>
    <x v="37"/>
  </r>
  <r>
    <n v="10488"/>
    <s v="حسن"/>
    <d v="2026-05-10T00:00:00"/>
    <x v="9"/>
    <x v="4"/>
    <x v="0"/>
    <x v="16"/>
    <x v="7"/>
    <x v="9"/>
    <n v="0.15"/>
    <x v="2"/>
    <x v="3"/>
    <s v="عميل 290"/>
    <x v="12"/>
  </r>
  <r>
    <n v="10489"/>
    <s v="علي"/>
    <d v="2026-10-10T00:00:00"/>
    <x v="9"/>
    <x v="4"/>
    <x v="7"/>
    <x v="19"/>
    <x v="7"/>
    <x v="9"/>
    <n v="0.03"/>
    <x v="1"/>
    <x v="1"/>
    <s v="عميل 190"/>
    <x v="12"/>
  </r>
  <r>
    <n v="10490"/>
    <s v="محمود"/>
    <d v="2026-12-28T00:00:00"/>
    <x v="7"/>
    <x v="0"/>
    <x v="4"/>
    <x v="20"/>
    <x v="0"/>
    <x v="7"/>
    <n v="0.1"/>
    <x v="1"/>
    <x v="1"/>
    <s v="عميل 61"/>
    <x v="121"/>
  </r>
  <r>
    <n v="10491"/>
    <s v="مؤمن"/>
    <d v="2026-09-18T00:00:00"/>
    <x v="10"/>
    <x v="3"/>
    <x v="2"/>
    <x v="2"/>
    <x v="8"/>
    <x v="10"/>
    <n v="0"/>
    <x v="1"/>
    <x v="2"/>
    <s v="عميل 282"/>
    <x v="98"/>
  </r>
  <r>
    <n v="10492"/>
    <s v="أحمد"/>
    <d v="2026-02-16T00:00:00"/>
    <x v="12"/>
    <x v="0"/>
    <x v="1"/>
    <x v="10"/>
    <x v="7"/>
    <x v="12"/>
    <n v="0.15"/>
    <x v="3"/>
    <x v="3"/>
    <s v="عميل 223"/>
    <x v="26"/>
  </r>
  <r>
    <n v="10493"/>
    <s v="محمد"/>
    <d v="2026-11-08T00:00:00"/>
    <x v="13"/>
    <x v="1"/>
    <x v="0"/>
    <x v="13"/>
    <x v="1"/>
    <x v="13"/>
    <n v="0.05"/>
    <x v="0"/>
    <x v="3"/>
    <s v="عميل 206"/>
    <x v="106"/>
  </r>
  <r>
    <n v="10494"/>
    <s v="يوسف"/>
    <d v="2026-11-24T00:00:00"/>
    <x v="12"/>
    <x v="0"/>
    <x v="7"/>
    <x v="19"/>
    <x v="2"/>
    <x v="12"/>
    <n v="0"/>
    <x v="1"/>
    <x v="3"/>
    <s v="عميل 6"/>
    <x v="62"/>
  </r>
  <r>
    <n v="10495"/>
    <s v="مصطفى"/>
    <d v="2026-09-22T00:00:00"/>
    <x v="5"/>
    <x v="4"/>
    <x v="7"/>
    <x v="18"/>
    <x v="9"/>
    <x v="5"/>
    <n v="0.1"/>
    <x v="3"/>
    <x v="1"/>
    <s v="عميل 19"/>
    <x v="18"/>
  </r>
  <r>
    <n v="10496"/>
    <s v="محمد"/>
    <d v="2026-05-22T00:00:00"/>
    <x v="9"/>
    <x v="4"/>
    <x v="2"/>
    <x v="12"/>
    <x v="9"/>
    <x v="9"/>
    <n v="0.03"/>
    <x v="1"/>
    <x v="2"/>
    <s v="عميل 203"/>
    <x v="54"/>
  </r>
  <r>
    <n v="10497"/>
    <s v="محمد"/>
    <d v="2026-02-16T00:00:00"/>
    <x v="2"/>
    <x v="2"/>
    <x v="2"/>
    <x v="12"/>
    <x v="9"/>
    <x v="2"/>
    <n v="0.15"/>
    <x v="2"/>
    <x v="2"/>
    <s v="عميل 178"/>
    <x v="41"/>
  </r>
  <r>
    <n v="10498"/>
    <s v="كريم"/>
    <d v="2026-07-26T00:00:00"/>
    <x v="8"/>
    <x v="4"/>
    <x v="7"/>
    <x v="18"/>
    <x v="2"/>
    <x v="8"/>
    <n v="0.03"/>
    <x v="0"/>
    <x v="2"/>
    <s v="عميل 90"/>
    <x v="99"/>
  </r>
  <r>
    <n v="10499"/>
    <s v="محمود"/>
    <d v="2026-03-01T00:00:00"/>
    <x v="2"/>
    <x v="2"/>
    <x v="0"/>
    <x v="0"/>
    <x v="4"/>
    <x v="2"/>
    <n v="0.05"/>
    <x v="2"/>
    <x v="2"/>
    <s v="عميل 227"/>
    <x v="90"/>
  </r>
  <r>
    <n v="10500"/>
    <s v="كريم"/>
    <d v="2026-10-28T00:00:00"/>
    <x v="2"/>
    <x v="2"/>
    <x v="4"/>
    <x v="7"/>
    <x v="5"/>
    <x v="2"/>
    <n v="7.0000000000000007E-2"/>
    <x v="0"/>
    <x v="3"/>
    <s v="عميل 60"/>
    <x v="52"/>
  </r>
  <r>
    <n v="10501"/>
    <s v="مؤمن"/>
    <d v="2026-06-11T00:00:00"/>
    <x v="14"/>
    <x v="4"/>
    <x v="0"/>
    <x v="26"/>
    <x v="1"/>
    <x v="14"/>
    <n v="0.15"/>
    <x v="1"/>
    <x v="2"/>
    <s v="عميل 265"/>
    <x v="54"/>
  </r>
  <r>
    <n v="10502"/>
    <s v="محمد"/>
    <d v="2026-07-24T00:00:00"/>
    <x v="7"/>
    <x v="0"/>
    <x v="1"/>
    <x v="6"/>
    <x v="1"/>
    <x v="7"/>
    <n v="0.05"/>
    <x v="2"/>
    <x v="0"/>
    <s v="عميل 284"/>
    <x v="97"/>
  </r>
  <r>
    <n v="10503"/>
    <s v="مؤمن"/>
    <d v="2026-10-21T00:00:00"/>
    <x v="11"/>
    <x v="5"/>
    <x v="5"/>
    <x v="8"/>
    <x v="5"/>
    <x v="11"/>
    <n v="0.05"/>
    <x v="2"/>
    <x v="1"/>
    <s v="عميل 98"/>
    <x v="77"/>
  </r>
  <r>
    <n v="10504"/>
    <s v="مؤمن"/>
    <d v="2026-04-28T00:00:00"/>
    <x v="6"/>
    <x v="2"/>
    <x v="2"/>
    <x v="5"/>
    <x v="1"/>
    <x v="6"/>
    <n v="0.05"/>
    <x v="3"/>
    <x v="1"/>
    <s v="عميل 183"/>
    <x v="39"/>
  </r>
  <r>
    <n v="10505"/>
    <s v="كريم"/>
    <d v="2026-11-11T00:00:00"/>
    <x v="3"/>
    <x v="1"/>
    <x v="0"/>
    <x v="0"/>
    <x v="3"/>
    <x v="3"/>
    <n v="0.15"/>
    <x v="0"/>
    <x v="0"/>
    <s v="عميل 247"/>
    <x v="3"/>
  </r>
  <r>
    <n v="10506"/>
    <s v="كريم"/>
    <d v="2026-04-04T00:00:00"/>
    <x v="9"/>
    <x v="4"/>
    <x v="3"/>
    <x v="17"/>
    <x v="2"/>
    <x v="9"/>
    <n v="0.05"/>
    <x v="2"/>
    <x v="3"/>
    <s v="عميل 114"/>
    <x v="14"/>
  </r>
  <r>
    <n v="10507"/>
    <s v="كريم"/>
    <d v="2026-10-04T00:00:00"/>
    <x v="4"/>
    <x v="3"/>
    <x v="5"/>
    <x v="9"/>
    <x v="4"/>
    <x v="4"/>
    <n v="7.0000000000000007E-2"/>
    <x v="0"/>
    <x v="2"/>
    <s v="عميل 202"/>
    <x v="4"/>
  </r>
  <r>
    <n v="10508"/>
    <s v="مصطفى"/>
    <d v="2026-08-24T00:00:00"/>
    <x v="8"/>
    <x v="4"/>
    <x v="5"/>
    <x v="8"/>
    <x v="3"/>
    <x v="8"/>
    <n v="0.15"/>
    <x v="2"/>
    <x v="0"/>
    <s v="عميل 7"/>
    <x v="108"/>
  </r>
  <r>
    <n v="10509"/>
    <s v="محمود"/>
    <d v="2026-07-05T00:00:00"/>
    <x v="0"/>
    <x v="0"/>
    <x v="2"/>
    <x v="2"/>
    <x v="2"/>
    <x v="0"/>
    <n v="0"/>
    <x v="2"/>
    <x v="1"/>
    <s v="عميل 281"/>
    <x v="11"/>
  </r>
  <r>
    <n v="10510"/>
    <s v="محمود"/>
    <d v="2026-07-07T00:00:00"/>
    <x v="14"/>
    <x v="4"/>
    <x v="2"/>
    <x v="2"/>
    <x v="6"/>
    <x v="14"/>
    <n v="0.1"/>
    <x v="3"/>
    <x v="3"/>
    <s v="عميل 218"/>
    <x v="65"/>
  </r>
  <r>
    <n v="10511"/>
    <s v="علي"/>
    <d v="2026-05-24T00:00:00"/>
    <x v="5"/>
    <x v="4"/>
    <x v="6"/>
    <x v="22"/>
    <x v="5"/>
    <x v="5"/>
    <n v="0.05"/>
    <x v="1"/>
    <x v="1"/>
    <s v="عميل 293"/>
    <x v="29"/>
  </r>
  <r>
    <n v="10512"/>
    <s v="مصطفى"/>
    <d v="2026-08-10T00:00:00"/>
    <x v="3"/>
    <x v="1"/>
    <x v="2"/>
    <x v="5"/>
    <x v="0"/>
    <x v="3"/>
    <n v="0.03"/>
    <x v="1"/>
    <x v="1"/>
    <s v="عميل 75"/>
    <x v="88"/>
  </r>
  <r>
    <n v="10513"/>
    <s v="علي"/>
    <d v="2026-09-13T00:00:00"/>
    <x v="4"/>
    <x v="3"/>
    <x v="5"/>
    <x v="8"/>
    <x v="9"/>
    <x v="4"/>
    <n v="0.03"/>
    <x v="3"/>
    <x v="2"/>
    <s v="عميل 250"/>
    <x v="113"/>
  </r>
  <r>
    <n v="10514"/>
    <s v="علي"/>
    <d v="2026-02-20T00:00:00"/>
    <x v="14"/>
    <x v="4"/>
    <x v="7"/>
    <x v="19"/>
    <x v="2"/>
    <x v="14"/>
    <n v="0"/>
    <x v="3"/>
    <x v="0"/>
    <s v="عميل 111"/>
    <x v="58"/>
  </r>
  <r>
    <n v="10515"/>
    <s v="محمود"/>
    <d v="2026-05-14T00:00:00"/>
    <x v="8"/>
    <x v="4"/>
    <x v="7"/>
    <x v="15"/>
    <x v="3"/>
    <x v="8"/>
    <n v="7.0000000000000007E-2"/>
    <x v="2"/>
    <x v="2"/>
    <s v="عميل 287"/>
    <x v="108"/>
  </r>
  <r>
    <n v="10516"/>
    <s v="محمد"/>
    <d v="2026-06-29T00:00:00"/>
    <x v="7"/>
    <x v="0"/>
    <x v="7"/>
    <x v="15"/>
    <x v="9"/>
    <x v="7"/>
    <n v="7.0000000000000007E-2"/>
    <x v="3"/>
    <x v="1"/>
    <s v="عميل 146"/>
    <x v="31"/>
  </r>
  <r>
    <n v="10517"/>
    <s v="كريم"/>
    <d v="2026-02-10T00:00:00"/>
    <x v="9"/>
    <x v="4"/>
    <x v="3"/>
    <x v="24"/>
    <x v="4"/>
    <x v="9"/>
    <n v="7.0000000000000007E-2"/>
    <x v="1"/>
    <x v="2"/>
    <s v="عميل 238"/>
    <x v="53"/>
  </r>
  <r>
    <n v="10518"/>
    <s v="حسن"/>
    <d v="2026-10-20T00:00:00"/>
    <x v="0"/>
    <x v="0"/>
    <x v="5"/>
    <x v="25"/>
    <x v="5"/>
    <x v="0"/>
    <n v="7.0000000000000007E-2"/>
    <x v="1"/>
    <x v="0"/>
    <s v="عميل 41"/>
    <x v="28"/>
  </r>
  <r>
    <n v="10519"/>
    <s v="عمر"/>
    <d v="2026-12-30T00:00:00"/>
    <x v="3"/>
    <x v="1"/>
    <x v="3"/>
    <x v="4"/>
    <x v="5"/>
    <x v="3"/>
    <n v="0.05"/>
    <x v="2"/>
    <x v="3"/>
    <s v="عميل 139"/>
    <x v="81"/>
  </r>
  <r>
    <n v="10520"/>
    <s v="كريم"/>
    <d v="2026-07-31T00:00:00"/>
    <x v="11"/>
    <x v="5"/>
    <x v="4"/>
    <x v="20"/>
    <x v="2"/>
    <x v="11"/>
    <n v="0.1"/>
    <x v="3"/>
    <x v="1"/>
    <s v="عميل 12"/>
    <x v="124"/>
  </r>
  <r>
    <n v="10521"/>
    <s v="محمد"/>
    <d v="2026-04-18T00:00:00"/>
    <x v="3"/>
    <x v="1"/>
    <x v="2"/>
    <x v="12"/>
    <x v="0"/>
    <x v="3"/>
    <n v="0.15"/>
    <x v="3"/>
    <x v="3"/>
    <s v="عميل 53"/>
    <x v="88"/>
  </r>
  <r>
    <n v="10522"/>
    <s v="أحمد"/>
    <d v="2026-07-23T00:00:00"/>
    <x v="13"/>
    <x v="1"/>
    <x v="0"/>
    <x v="26"/>
    <x v="4"/>
    <x v="13"/>
    <n v="0"/>
    <x v="0"/>
    <x v="0"/>
    <s v="عميل 135"/>
    <x v="117"/>
  </r>
  <r>
    <n v="10523"/>
    <s v="مؤمن"/>
    <d v="2026-05-07T00:00:00"/>
    <x v="12"/>
    <x v="0"/>
    <x v="5"/>
    <x v="9"/>
    <x v="7"/>
    <x v="12"/>
    <n v="0.05"/>
    <x v="2"/>
    <x v="3"/>
    <s v="عميل 65"/>
    <x v="26"/>
  </r>
  <r>
    <n v="10524"/>
    <s v="محمود"/>
    <d v="2026-06-16T00:00:00"/>
    <x v="3"/>
    <x v="1"/>
    <x v="5"/>
    <x v="9"/>
    <x v="9"/>
    <x v="3"/>
    <n v="0.15"/>
    <x v="1"/>
    <x v="3"/>
    <s v="عميل 277"/>
    <x v="46"/>
  </r>
  <r>
    <n v="10525"/>
    <s v="مصطفى"/>
    <d v="2026-04-01T00:00:00"/>
    <x v="11"/>
    <x v="5"/>
    <x v="7"/>
    <x v="19"/>
    <x v="6"/>
    <x v="11"/>
    <n v="0.03"/>
    <x v="1"/>
    <x v="3"/>
    <s v="عميل 269"/>
    <x v="62"/>
  </r>
  <r>
    <n v="10526"/>
    <s v="مؤمن"/>
    <d v="2026-02-15T00:00:00"/>
    <x v="0"/>
    <x v="0"/>
    <x v="7"/>
    <x v="15"/>
    <x v="6"/>
    <x v="0"/>
    <n v="0.1"/>
    <x v="1"/>
    <x v="2"/>
    <s v="عميل 188"/>
    <x v="111"/>
  </r>
  <r>
    <n v="10527"/>
    <s v="أحمد"/>
    <d v="2026-09-25T00:00:00"/>
    <x v="2"/>
    <x v="2"/>
    <x v="7"/>
    <x v="18"/>
    <x v="0"/>
    <x v="2"/>
    <n v="0"/>
    <x v="3"/>
    <x v="2"/>
    <s v="عميل 147"/>
    <x v="9"/>
  </r>
  <r>
    <n v="10528"/>
    <s v="أحمد"/>
    <d v="2026-08-09T00:00:00"/>
    <x v="6"/>
    <x v="2"/>
    <x v="1"/>
    <x v="3"/>
    <x v="6"/>
    <x v="6"/>
    <n v="0.05"/>
    <x v="2"/>
    <x v="1"/>
    <s v="عميل 4"/>
    <x v="47"/>
  </r>
  <r>
    <n v="10529"/>
    <s v="علي"/>
    <d v="2026-07-22T00:00:00"/>
    <x v="7"/>
    <x v="0"/>
    <x v="3"/>
    <x v="4"/>
    <x v="7"/>
    <x v="7"/>
    <n v="0.1"/>
    <x v="3"/>
    <x v="1"/>
    <s v="عميل 200"/>
    <x v="125"/>
  </r>
  <r>
    <n v="10530"/>
    <s v="علي"/>
    <d v="2026-11-17T00:00:00"/>
    <x v="8"/>
    <x v="4"/>
    <x v="6"/>
    <x v="23"/>
    <x v="0"/>
    <x v="8"/>
    <n v="0"/>
    <x v="3"/>
    <x v="2"/>
    <s v="عميل 146"/>
    <x v="50"/>
  </r>
  <r>
    <n v="10531"/>
    <s v="يوسف"/>
    <d v="2026-03-11T00:00:00"/>
    <x v="0"/>
    <x v="0"/>
    <x v="7"/>
    <x v="15"/>
    <x v="1"/>
    <x v="0"/>
    <n v="0"/>
    <x v="2"/>
    <x v="0"/>
    <s v="عميل 234"/>
    <x v="27"/>
  </r>
  <r>
    <n v="10532"/>
    <s v="مؤمن"/>
    <d v="2026-06-14T00:00:00"/>
    <x v="12"/>
    <x v="0"/>
    <x v="4"/>
    <x v="20"/>
    <x v="2"/>
    <x v="12"/>
    <n v="7.0000000000000007E-2"/>
    <x v="0"/>
    <x v="1"/>
    <s v="عميل 26"/>
    <x v="62"/>
  </r>
  <r>
    <n v="10533"/>
    <s v="عمر"/>
    <d v="2026-03-06T00:00:00"/>
    <x v="7"/>
    <x v="0"/>
    <x v="1"/>
    <x v="10"/>
    <x v="3"/>
    <x v="7"/>
    <n v="0.05"/>
    <x v="1"/>
    <x v="0"/>
    <s v="عميل 120"/>
    <x v="51"/>
  </r>
  <r>
    <n v="10534"/>
    <s v="محمود"/>
    <d v="2026-08-04T00:00:00"/>
    <x v="13"/>
    <x v="1"/>
    <x v="5"/>
    <x v="9"/>
    <x v="6"/>
    <x v="13"/>
    <n v="0.03"/>
    <x v="2"/>
    <x v="3"/>
    <s v="عميل 191"/>
    <x v="73"/>
  </r>
  <r>
    <n v="10535"/>
    <s v="أحمد"/>
    <d v="2026-05-17T00:00:00"/>
    <x v="6"/>
    <x v="2"/>
    <x v="1"/>
    <x v="6"/>
    <x v="3"/>
    <x v="6"/>
    <n v="0.03"/>
    <x v="1"/>
    <x v="0"/>
    <s v="عميل 279"/>
    <x v="14"/>
  </r>
  <r>
    <n v="10536"/>
    <s v="أحمد"/>
    <d v="2026-03-04T00:00:00"/>
    <x v="6"/>
    <x v="2"/>
    <x v="5"/>
    <x v="25"/>
    <x v="0"/>
    <x v="6"/>
    <n v="7.0000000000000007E-2"/>
    <x v="3"/>
    <x v="3"/>
    <s v="عميل 227"/>
    <x v="52"/>
  </r>
  <r>
    <n v="10537"/>
    <s v="محمد"/>
    <d v="2026-09-24T00:00:00"/>
    <x v="5"/>
    <x v="4"/>
    <x v="1"/>
    <x v="10"/>
    <x v="6"/>
    <x v="5"/>
    <n v="0.15"/>
    <x v="3"/>
    <x v="3"/>
    <s v="عميل 200"/>
    <x v="56"/>
  </r>
  <r>
    <n v="10538"/>
    <s v="أحمد"/>
    <d v="2026-10-09T00:00:00"/>
    <x v="0"/>
    <x v="0"/>
    <x v="7"/>
    <x v="15"/>
    <x v="8"/>
    <x v="0"/>
    <n v="0.15"/>
    <x v="0"/>
    <x v="2"/>
    <s v="عميل 247"/>
    <x v="16"/>
  </r>
  <r>
    <n v="10539"/>
    <s v="مؤمن"/>
    <d v="2026-02-27T00:00:00"/>
    <x v="0"/>
    <x v="0"/>
    <x v="7"/>
    <x v="18"/>
    <x v="5"/>
    <x v="0"/>
    <n v="0"/>
    <x v="3"/>
    <x v="3"/>
    <s v="عميل 167"/>
    <x v="28"/>
  </r>
  <r>
    <n v="10540"/>
    <s v="علي"/>
    <d v="2026-05-05T00:00:00"/>
    <x v="1"/>
    <x v="1"/>
    <x v="5"/>
    <x v="21"/>
    <x v="2"/>
    <x v="1"/>
    <n v="0"/>
    <x v="0"/>
    <x v="0"/>
    <s v="عميل 298"/>
    <x v="40"/>
  </r>
  <r>
    <n v="10541"/>
    <s v="محمود"/>
    <d v="2026-02-15T00:00:00"/>
    <x v="4"/>
    <x v="3"/>
    <x v="4"/>
    <x v="11"/>
    <x v="2"/>
    <x v="4"/>
    <n v="0.03"/>
    <x v="3"/>
    <x v="1"/>
    <s v="عميل 256"/>
    <x v="116"/>
  </r>
  <r>
    <n v="10542"/>
    <s v="محمود"/>
    <d v="2026-11-27T00:00:00"/>
    <x v="13"/>
    <x v="1"/>
    <x v="3"/>
    <x v="24"/>
    <x v="9"/>
    <x v="13"/>
    <n v="0"/>
    <x v="3"/>
    <x v="0"/>
    <s v="عميل 65"/>
    <x v="80"/>
  </r>
  <r>
    <n v="10543"/>
    <s v="محمود"/>
    <d v="2026-08-13T00:00:00"/>
    <x v="6"/>
    <x v="2"/>
    <x v="2"/>
    <x v="2"/>
    <x v="4"/>
    <x v="6"/>
    <n v="0.15"/>
    <x v="3"/>
    <x v="0"/>
    <s v="عميل 194"/>
    <x v="13"/>
  </r>
  <r>
    <n v="10544"/>
    <s v="كريم"/>
    <d v="2026-10-14T00:00:00"/>
    <x v="9"/>
    <x v="4"/>
    <x v="5"/>
    <x v="21"/>
    <x v="9"/>
    <x v="9"/>
    <n v="7.0000000000000007E-2"/>
    <x v="2"/>
    <x v="3"/>
    <s v="عميل 98"/>
    <x v="54"/>
  </r>
  <r>
    <n v="10545"/>
    <s v="كريم"/>
    <d v="2026-05-21T00:00:00"/>
    <x v="12"/>
    <x v="0"/>
    <x v="5"/>
    <x v="21"/>
    <x v="5"/>
    <x v="12"/>
    <n v="0.15"/>
    <x v="3"/>
    <x v="0"/>
    <s v="عميل 272"/>
    <x v="61"/>
  </r>
  <r>
    <n v="10546"/>
    <s v="محمود"/>
    <d v="2026-08-21T00:00:00"/>
    <x v="3"/>
    <x v="1"/>
    <x v="4"/>
    <x v="20"/>
    <x v="0"/>
    <x v="3"/>
    <n v="0.1"/>
    <x v="0"/>
    <x v="3"/>
    <s v="عميل 95"/>
    <x v="88"/>
  </r>
  <r>
    <n v="10547"/>
    <s v="محمود"/>
    <d v="2026-02-02T00:00:00"/>
    <x v="11"/>
    <x v="5"/>
    <x v="1"/>
    <x v="6"/>
    <x v="2"/>
    <x v="11"/>
    <n v="0.03"/>
    <x v="1"/>
    <x v="1"/>
    <s v="عميل 269"/>
    <x v="124"/>
  </r>
  <r>
    <n v="10548"/>
    <s v="عمر"/>
    <d v="2026-06-15T00:00:00"/>
    <x v="0"/>
    <x v="0"/>
    <x v="4"/>
    <x v="11"/>
    <x v="8"/>
    <x v="0"/>
    <n v="0.1"/>
    <x v="1"/>
    <x v="2"/>
    <s v="عميل 57"/>
    <x v="16"/>
  </r>
  <r>
    <n v="10549"/>
    <s v="أحمد"/>
    <d v="2026-04-14T00:00:00"/>
    <x v="13"/>
    <x v="1"/>
    <x v="0"/>
    <x v="0"/>
    <x v="8"/>
    <x v="13"/>
    <n v="0.03"/>
    <x v="0"/>
    <x v="3"/>
    <s v="عميل 99"/>
    <x v="71"/>
  </r>
  <r>
    <n v="10550"/>
    <s v="حسن"/>
    <d v="2026-12-26T00:00:00"/>
    <x v="13"/>
    <x v="1"/>
    <x v="1"/>
    <x v="3"/>
    <x v="6"/>
    <x v="13"/>
    <n v="0.1"/>
    <x v="2"/>
    <x v="0"/>
    <s v="عميل 188"/>
    <x v="73"/>
  </r>
  <r>
    <n v="10551"/>
    <s v="كريم"/>
    <d v="2026-02-10T00:00:00"/>
    <x v="5"/>
    <x v="4"/>
    <x v="0"/>
    <x v="0"/>
    <x v="1"/>
    <x v="5"/>
    <n v="0.15"/>
    <x v="1"/>
    <x v="0"/>
    <s v="عميل 185"/>
    <x v="5"/>
  </r>
  <r>
    <n v="10552"/>
    <s v="عمر"/>
    <d v="2026-09-28T00:00:00"/>
    <x v="7"/>
    <x v="0"/>
    <x v="6"/>
    <x v="14"/>
    <x v="9"/>
    <x v="7"/>
    <n v="0.1"/>
    <x v="0"/>
    <x v="0"/>
    <s v="عميل 156"/>
    <x v="31"/>
  </r>
  <r>
    <n v="10553"/>
    <s v="مؤمن"/>
    <d v="2026-09-30T00:00:00"/>
    <x v="13"/>
    <x v="1"/>
    <x v="2"/>
    <x v="12"/>
    <x v="3"/>
    <x v="13"/>
    <n v="0"/>
    <x v="1"/>
    <x v="1"/>
    <s v="عميل 99"/>
    <x v="96"/>
  </r>
  <r>
    <n v="10554"/>
    <s v="مصطفى"/>
    <d v="2026-08-01T00:00:00"/>
    <x v="7"/>
    <x v="0"/>
    <x v="2"/>
    <x v="12"/>
    <x v="8"/>
    <x v="7"/>
    <n v="0.1"/>
    <x v="0"/>
    <x v="2"/>
    <s v="عميل 235"/>
    <x v="56"/>
  </r>
  <r>
    <n v="10555"/>
    <s v="مصطفى"/>
    <d v="2026-07-25T00:00:00"/>
    <x v="10"/>
    <x v="3"/>
    <x v="6"/>
    <x v="23"/>
    <x v="8"/>
    <x v="10"/>
    <n v="0.03"/>
    <x v="2"/>
    <x v="1"/>
    <s v="عميل 274"/>
    <x v="98"/>
  </r>
  <r>
    <n v="10556"/>
    <s v="محمود"/>
    <d v="2026-07-10T00:00:00"/>
    <x v="12"/>
    <x v="0"/>
    <x v="4"/>
    <x v="20"/>
    <x v="5"/>
    <x v="12"/>
    <n v="0.1"/>
    <x v="1"/>
    <x v="3"/>
    <s v="عميل 166"/>
    <x v="61"/>
  </r>
  <r>
    <n v="10557"/>
    <s v="علي"/>
    <d v="2026-10-09T00:00:00"/>
    <x v="12"/>
    <x v="0"/>
    <x v="2"/>
    <x v="12"/>
    <x v="4"/>
    <x v="12"/>
    <n v="0.03"/>
    <x v="2"/>
    <x v="2"/>
    <s v="عميل 232"/>
    <x v="87"/>
  </r>
  <r>
    <n v="10558"/>
    <s v="حسن"/>
    <d v="2026-01-09T00:00:00"/>
    <x v="6"/>
    <x v="2"/>
    <x v="6"/>
    <x v="23"/>
    <x v="9"/>
    <x v="6"/>
    <n v="0.05"/>
    <x v="3"/>
    <x v="2"/>
    <s v="عميل 4"/>
    <x v="36"/>
  </r>
  <r>
    <n v="10559"/>
    <s v="عمر"/>
    <d v="2026-10-11T00:00:00"/>
    <x v="14"/>
    <x v="4"/>
    <x v="2"/>
    <x v="5"/>
    <x v="5"/>
    <x v="14"/>
    <n v="0"/>
    <x v="3"/>
    <x v="0"/>
    <s v="عميل 20"/>
    <x v="34"/>
  </r>
  <r>
    <n v="10560"/>
    <s v="محمود"/>
    <d v="2026-10-26T00:00:00"/>
    <x v="6"/>
    <x v="2"/>
    <x v="3"/>
    <x v="4"/>
    <x v="8"/>
    <x v="6"/>
    <n v="0.05"/>
    <x v="3"/>
    <x v="1"/>
    <s v="عميل 132"/>
    <x v="57"/>
  </r>
  <r>
    <n v="10561"/>
    <s v="حسن"/>
    <d v="2026-04-22T00:00:00"/>
    <x v="4"/>
    <x v="3"/>
    <x v="7"/>
    <x v="18"/>
    <x v="2"/>
    <x v="4"/>
    <n v="7.0000000000000007E-2"/>
    <x v="0"/>
    <x v="2"/>
    <s v="عميل 248"/>
    <x v="116"/>
  </r>
  <r>
    <n v="10562"/>
    <s v="حسن"/>
    <d v="2026-11-25T00:00:00"/>
    <x v="3"/>
    <x v="1"/>
    <x v="4"/>
    <x v="11"/>
    <x v="2"/>
    <x v="3"/>
    <n v="0"/>
    <x v="2"/>
    <x v="0"/>
    <s v="عميل 296"/>
    <x v="68"/>
  </r>
  <r>
    <n v="10563"/>
    <s v="علي"/>
    <d v="2026-08-02T00:00:00"/>
    <x v="2"/>
    <x v="2"/>
    <x v="0"/>
    <x v="0"/>
    <x v="5"/>
    <x v="2"/>
    <n v="0.05"/>
    <x v="0"/>
    <x v="1"/>
    <s v="عميل 6"/>
    <x v="52"/>
  </r>
  <r>
    <n v="10564"/>
    <s v="أحمد"/>
    <d v="2026-06-13T00:00:00"/>
    <x v="0"/>
    <x v="0"/>
    <x v="6"/>
    <x v="23"/>
    <x v="0"/>
    <x v="0"/>
    <n v="0.1"/>
    <x v="3"/>
    <x v="2"/>
    <s v="عميل 258"/>
    <x v="0"/>
  </r>
  <r>
    <n v="10565"/>
    <s v="علي"/>
    <d v="2026-08-17T00:00:00"/>
    <x v="10"/>
    <x v="3"/>
    <x v="2"/>
    <x v="5"/>
    <x v="9"/>
    <x v="10"/>
    <n v="0.15"/>
    <x v="0"/>
    <x v="1"/>
    <s v="عميل 222"/>
    <x v="115"/>
  </r>
  <r>
    <n v="10566"/>
    <s v="محمد"/>
    <d v="2026-09-01T00:00:00"/>
    <x v="14"/>
    <x v="4"/>
    <x v="6"/>
    <x v="23"/>
    <x v="8"/>
    <x v="14"/>
    <n v="0.05"/>
    <x v="0"/>
    <x v="3"/>
    <s v="عميل 135"/>
    <x v="4"/>
  </r>
  <r>
    <n v="10567"/>
    <s v="يوسف"/>
    <d v="2026-03-11T00:00:00"/>
    <x v="13"/>
    <x v="1"/>
    <x v="6"/>
    <x v="22"/>
    <x v="7"/>
    <x v="13"/>
    <n v="0.15"/>
    <x v="1"/>
    <x v="1"/>
    <s v="عميل 250"/>
    <x v="49"/>
  </r>
  <r>
    <n v="10568"/>
    <s v="مصطفى"/>
    <d v="2026-05-07T00:00:00"/>
    <x v="2"/>
    <x v="2"/>
    <x v="2"/>
    <x v="12"/>
    <x v="2"/>
    <x v="2"/>
    <n v="0.15"/>
    <x v="3"/>
    <x v="0"/>
    <s v="عميل 137"/>
    <x v="2"/>
  </r>
  <r>
    <n v="10569"/>
    <s v="محمد"/>
    <d v="2026-12-10T00:00:00"/>
    <x v="4"/>
    <x v="3"/>
    <x v="6"/>
    <x v="14"/>
    <x v="2"/>
    <x v="4"/>
    <n v="0"/>
    <x v="1"/>
    <x v="3"/>
    <s v="عميل 188"/>
    <x v="116"/>
  </r>
  <r>
    <n v="10570"/>
    <s v="أحمد"/>
    <d v="2026-06-06T00:00:00"/>
    <x v="9"/>
    <x v="4"/>
    <x v="2"/>
    <x v="2"/>
    <x v="5"/>
    <x v="9"/>
    <n v="0.1"/>
    <x v="3"/>
    <x v="2"/>
    <s v="عميل 227"/>
    <x v="110"/>
  </r>
  <r>
    <n v="10571"/>
    <s v="مؤمن"/>
    <d v="2026-12-17T00:00:00"/>
    <x v="12"/>
    <x v="0"/>
    <x v="5"/>
    <x v="8"/>
    <x v="9"/>
    <x v="12"/>
    <n v="0.03"/>
    <x v="2"/>
    <x v="1"/>
    <s v="عميل 44"/>
    <x v="111"/>
  </r>
  <r>
    <n v="10572"/>
    <s v="عمر"/>
    <d v="2026-01-08T00:00:00"/>
    <x v="13"/>
    <x v="1"/>
    <x v="1"/>
    <x v="10"/>
    <x v="2"/>
    <x v="13"/>
    <n v="0.03"/>
    <x v="2"/>
    <x v="0"/>
    <s v="عميل 157"/>
    <x v="48"/>
  </r>
  <r>
    <n v="10573"/>
    <s v="مصطفى"/>
    <d v="2026-04-19T00:00:00"/>
    <x v="6"/>
    <x v="2"/>
    <x v="4"/>
    <x v="7"/>
    <x v="5"/>
    <x v="6"/>
    <n v="0.03"/>
    <x v="3"/>
    <x v="2"/>
    <s v="عميل 281"/>
    <x v="6"/>
  </r>
  <r>
    <n v="10574"/>
    <s v="مصطفى"/>
    <d v="2026-01-23T00:00:00"/>
    <x v="6"/>
    <x v="2"/>
    <x v="5"/>
    <x v="9"/>
    <x v="7"/>
    <x v="6"/>
    <n v="0.1"/>
    <x v="2"/>
    <x v="1"/>
    <s v="عميل 31"/>
    <x v="60"/>
  </r>
  <r>
    <n v="10575"/>
    <s v="أحمد"/>
    <d v="2026-08-27T00:00:00"/>
    <x v="14"/>
    <x v="4"/>
    <x v="2"/>
    <x v="12"/>
    <x v="2"/>
    <x v="14"/>
    <n v="0.05"/>
    <x v="0"/>
    <x v="0"/>
    <s v="عميل 199"/>
    <x v="58"/>
  </r>
  <r>
    <n v="10576"/>
    <s v="أحمد"/>
    <d v="2026-05-30T00:00:00"/>
    <x v="0"/>
    <x v="0"/>
    <x v="7"/>
    <x v="19"/>
    <x v="5"/>
    <x v="0"/>
    <n v="0"/>
    <x v="1"/>
    <x v="1"/>
    <s v="عميل 195"/>
    <x v="28"/>
  </r>
  <r>
    <n v="10577"/>
    <s v="مصطفى"/>
    <d v="2026-02-15T00:00:00"/>
    <x v="7"/>
    <x v="0"/>
    <x v="0"/>
    <x v="13"/>
    <x v="6"/>
    <x v="7"/>
    <n v="0.1"/>
    <x v="3"/>
    <x v="1"/>
    <s v="عميل 257"/>
    <x v="7"/>
  </r>
  <r>
    <n v="10578"/>
    <s v="عمر"/>
    <d v="2026-06-20T00:00:00"/>
    <x v="6"/>
    <x v="2"/>
    <x v="1"/>
    <x v="1"/>
    <x v="1"/>
    <x v="6"/>
    <n v="0.1"/>
    <x v="1"/>
    <x v="3"/>
    <s v="عميل 81"/>
    <x v="39"/>
  </r>
  <r>
    <n v="10579"/>
    <s v="عمر"/>
    <d v="2026-05-01T00:00:00"/>
    <x v="1"/>
    <x v="1"/>
    <x v="3"/>
    <x v="24"/>
    <x v="5"/>
    <x v="1"/>
    <n v="0.05"/>
    <x v="2"/>
    <x v="0"/>
    <s v="عميل 132"/>
    <x v="64"/>
  </r>
  <r>
    <n v="10580"/>
    <s v="مؤمن"/>
    <d v="2026-03-19T00:00:00"/>
    <x v="11"/>
    <x v="5"/>
    <x v="6"/>
    <x v="23"/>
    <x v="4"/>
    <x v="11"/>
    <n v="0.05"/>
    <x v="2"/>
    <x v="3"/>
    <s v="عميل 71"/>
    <x v="126"/>
  </r>
  <r>
    <n v="10581"/>
    <s v="مؤمن"/>
    <d v="2026-08-02T00:00:00"/>
    <x v="13"/>
    <x v="1"/>
    <x v="6"/>
    <x v="22"/>
    <x v="2"/>
    <x v="13"/>
    <n v="0.15"/>
    <x v="3"/>
    <x v="1"/>
    <s v="عميل 219"/>
    <x v="48"/>
  </r>
  <r>
    <n v="10582"/>
    <s v="مؤمن"/>
    <d v="2026-12-01T00:00:00"/>
    <x v="14"/>
    <x v="4"/>
    <x v="3"/>
    <x v="17"/>
    <x v="4"/>
    <x v="14"/>
    <n v="0.03"/>
    <x v="3"/>
    <x v="1"/>
    <s v="عميل 71"/>
    <x v="92"/>
  </r>
  <r>
    <n v="10583"/>
    <s v="حسن"/>
    <d v="2026-03-22T00:00:00"/>
    <x v="14"/>
    <x v="4"/>
    <x v="5"/>
    <x v="8"/>
    <x v="8"/>
    <x v="14"/>
    <n v="0.15"/>
    <x v="2"/>
    <x v="0"/>
    <s v="عميل 286"/>
    <x v="4"/>
  </r>
  <r>
    <n v="10584"/>
    <s v="أحمد"/>
    <d v="2026-06-13T00:00:00"/>
    <x v="7"/>
    <x v="0"/>
    <x v="0"/>
    <x v="16"/>
    <x v="5"/>
    <x v="7"/>
    <n v="0.03"/>
    <x v="1"/>
    <x v="3"/>
    <s v="عميل 156"/>
    <x v="69"/>
  </r>
  <r>
    <n v="10585"/>
    <s v="يوسف"/>
    <d v="2026-04-05T00:00:00"/>
    <x v="6"/>
    <x v="2"/>
    <x v="7"/>
    <x v="18"/>
    <x v="1"/>
    <x v="6"/>
    <n v="0"/>
    <x v="0"/>
    <x v="2"/>
    <s v="عميل 291"/>
    <x v="39"/>
  </r>
  <r>
    <n v="10586"/>
    <s v="أحمد"/>
    <d v="2026-07-03T00:00:00"/>
    <x v="12"/>
    <x v="0"/>
    <x v="2"/>
    <x v="12"/>
    <x v="1"/>
    <x v="12"/>
    <n v="0.03"/>
    <x v="0"/>
    <x v="3"/>
    <s v="عميل 69"/>
    <x v="75"/>
  </r>
  <r>
    <n v="10587"/>
    <s v="علي"/>
    <d v="2026-09-09T00:00:00"/>
    <x v="7"/>
    <x v="0"/>
    <x v="4"/>
    <x v="11"/>
    <x v="5"/>
    <x v="7"/>
    <n v="0.03"/>
    <x v="1"/>
    <x v="1"/>
    <s v="عميل 84"/>
    <x v="69"/>
  </r>
  <r>
    <n v="10588"/>
    <s v="عمر"/>
    <d v="2026-07-31T00:00:00"/>
    <x v="5"/>
    <x v="4"/>
    <x v="2"/>
    <x v="5"/>
    <x v="7"/>
    <x v="5"/>
    <n v="0"/>
    <x v="3"/>
    <x v="1"/>
    <s v="عميل 105"/>
    <x v="8"/>
  </r>
  <r>
    <n v="10589"/>
    <s v="محمود"/>
    <d v="2026-08-23T00:00:00"/>
    <x v="13"/>
    <x v="1"/>
    <x v="5"/>
    <x v="8"/>
    <x v="2"/>
    <x v="13"/>
    <n v="7.0000000000000007E-2"/>
    <x v="3"/>
    <x v="3"/>
    <s v="عميل 208"/>
    <x v="48"/>
  </r>
  <r>
    <n v="10590"/>
    <s v="حسن"/>
    <d v="2026-10-20T00:00:00"/>
    <x v="4"/>
    <x v="3"/>
    <x v="1"/>
    <x v="3"/>
    <x v="5"/>
    <x v="4"/>
    <n v="7.0000000000000007E-2"/>
    <x v="0"/>
    <x v="0"/>
    <s v="عميل 232"/>
    <x v="66"/>
  </r>
  <r>
    <n v="10591"/>
    <s v="علي"/>
    <d v="2026-01-21T00:00:00"/>
    <x v="6"/>
    <x v="2"/>
    <x v="1"/>
    <x v="10"/>
    <x v="4"/>
    <x v="6"/>
    <n v="0.1"/>
    <x v="1"/>
    <x v="0"/>
    <s v="عميل 98"/>
    <x v="13"/>
  </r>
  <r>
    <n v="10592"/>
    <s v="كريم"/>
    <d v="2026-03-27T00:00:00"/>
    <x v="14"/>
    <x v="4"/>
    <x v="4"/>
    <x v="20"/>
    <x v="0"/>
    <x v="14"/>
    <n v="0.05"/>
    <x v="1"/>
    <x v="2"/>
    <s v="عميل 28"/>
    <x v="43"/>
  </r>
  <r>
    <n v="10593"/>
    <s v="مصطفى"/>
    <d v="2026-02-27T00:00:00"/>
    <x v="10"/>
    <x v="3"/>
    <x v="5"/>
    <x v="8"/>
    <x v="6"/>
    <x v="10"/>
    <n v="0"/>
    <x v="3"/>
    <x v="1"/>
    <s v="عميل 202"/>
    <x v="109"/>
  </r>
  <r>
    <n v="10594"/>
    <s v="كريم"/>
    <d v="2026-10-30T00:00:00"/>
    <x v="2"/>
    <x v="2"/>
    <x v="3"/>
    <x v="17"/>
    <x v="9"/>
    <x v="2"/>
    <n v="0.03"/>
    <x v="3"/>
    <x v="3"/>
    <s v="عميل 47"/>
    <x v="41"/>
  </r>
  <r>
    <n v="10595"/>
    <s v="محمد"/>
    <d v="2026-02-16T00:00:00"/>
    <x v="14"/>
    <x v="4"/>
    <x v="3"/>
    <x v="24"/>
    <x v="8"/>
    <x v="14"/>
    <n v="0.15"/>
    <x v="0"/>
    <x v="3"/>
    <s v="عميل 186"/>
    <x v="4"/>
  </r>
  <r>
    <n v="10596"/>
    <s v="يوسف"/>
    <d v="2026-07-13T00:00:00"/>
    <x v="13"/>
    <x v="1"/>
    <x v="6"/>
    <x v="22"/>
    <x v="4"/>
    <x v="13"/>
    <n v="0.1"/>
    <x v="1"/>
    <x v="0"/>
    <s v="عميل 88"/>
    <x v="117"/>
  </r>
  <r>
    <n v="10597"/>
    <s v="يوسف"/>
    <d v="2026-04-02T00:00:00"/>
    <x v="11"/>
    <x v="5"/>
    <x v="3"/>
    <x v="24"/>
    <x v="8"/>
    <x v="11"/>
    <n v="0.03"/>
    <x v="0"/>
    <x v="3"/>
    <s v="عميل 158"/>
    <x v="35"/>
  </r>
  <r>
    <n v="10598"/>
    <s v="يوسف"/>
    <d v="2026-04-14T00:00:00"/>
    <x v="14"/>
    <x v="4"/>
    <x v="4"/>
    <x v="20"/>
    <x v="8"/>
    <x v="14"/>
    <n v="0"/>
    <x v="0"/>
    <x v="2"/>
    <s v="عميل 7"/>
    <x v="4"/>
  </r>
  <r>
    <n v="10599"/>
    <s v="حسن"/>
    <d v="2026-09-10T00:00:00"/>
    <x v="6"/>
    <x v="2"/>
    <x v="4"/>
    <x v="20"/>
    <x v="4"/>
    <x v="6"/>
    <n v="0"/>
    <x v="3"/>
    <x v="1"/>
    <s v="عميل 244"/>
    <x v="13"/>
  </r>
  <r>
    <n v="10600"/>
    <s v="حسن"/>
    <d v="2026-01-04T00:00:00"/>
    <x v="6"/>
    <x v="2"/>
    <x v="6"/>
    <x v="14"/>
    <x v="3"/>
    <x v="6"/>
    <n v="0.1"/>
    <x v="3"/>
    <x v="2"/>
    <s v="عميل 286"/>
    <x v="14"/>
  </r>
  <r>
    <n v="10601"/>
    <s v="أحمد"/>
    <d v="2026-12-01T00:00:00"/>
    <x v="8"/>
    <x v="4"/>
    <x v="2"/>
    <x v="5"/>
    <x v="8"/>
    <x v="8"/>
    <n v="0.03"/>
    <x v="2"/>
    <x v="0"/>
    <s v="عميل 75"/>
    <x v="95"/>
  </r>
  <r>
    <n v="10602"/>
    <s v="أحمد"/>
    <d v="2026-02-25T00:00:00"/>
    <x v="8"/>
    <x v="4"/>
    <x v="1"/>
    <x v="6"/>
    <x v="5"/>
    <x v="8"/>
    <n v="0"/>
    <x v="1"/>
    <x v="1"/>
    <s v="عميل 83"/>
    <x v="8"/>
  </r>
  <r>
    <n v="10603"/>
    <s v="مصطفى"/>
    <d v="2026-04-01T00:00:00"/>
    <x v="0"/>
    <x v="0"/>
    <x v="7"/>
    <x v="19"/>
    <x v="2"/>
    <x v="0"/>
    <n v="0.1"/>
    <x v="1"/>
    <x v="2"/>
    <s v="عميل 19"/>
    <x v="11"/>
  </r>
  <r>
    <n v="10604"/>
    <s v="محمد"/>
    <d v="2026-08-07T00:00:00"/>
    <x v="13"/>
    <x v="1"/>
    <x v="7"/>
    <x v="15"/>
    <x v="5"/>
    <x v="13"/>
    <n v="7.0000000000000007E-2"/>
    <x v="0"/>
    <x v="2"/>
    <s v="عميل 242"/>
    <x v="33"/>
  </r>
  <r>
    <n v="10605"/>
    <s v="علي"/>
    <d v="2026-09-26T00:00:00"/>
    <x v="3"/>
    <x v="1"/>
    <x v="0"/>
    <x v="13"/>
    <x v="5"/>
    <x v="3"/>
    <n v="0.1"/>
    <x v="3"/>
    <x v="1"/>
    <s v="عميل 30"/>
    <x v="81"/>
  </r>
  <r>
    <n v="10606"/>
    <s v="عمر"/>
    <d v="2026-08-07T00:00:00"/>
    <x v="13"/>
    <x v="1"/>
    <x v="0"/>
    <x v="26"/>
    <x v="2"/>
    <x v="13"/>
    <n v="0.15"/>
    <x v="2"/>
    <x v="2"/>
    <s v="عميل 270"/>
    <x v="48"/>
  </r>
  <r>
    <n v="10607"/>
    <s v="كريم"/>
    <d v="2026-09-24T00:00:00"/>
    <x v="12"/>
    <x v="0"/>
    <x v="3"/>
    <x v="4"/>
    <x v="2"/>
    <x v="12"/>
    <n v="0.1"/>
    <x v="1"/>
    <x v="3"/>
    <s v="عميل 93"/>
    <x v="62"/>
  </r>
  <r>
    <n v="10608"/>
    <s v="أحمد"/>
    <d v="2026-03-02T00:00:00"/>
    <x v="11"/>
    <x v="5"/>
    <x v="2"/>
    <x v="12"/>
    <x v="0"/>
    <x v="11"/>
    <n v="0.03"/>
    <x v="0"/>
    <x v="3"/>
    <s v="عميل 61"/>
    <x v="67"/>
  </r>
  <r>
    <n v="10609"/>
    <s v="أحمد"/>
    <d v="2026-06-20T00:00:00"/>
    <x v="10"/>
    <x v="3"/>
    <x v="2"/>
    <x v="12"/>
    <x v="7"/>
    <x v="10"/>
    <n v="7.0000000000000007E-2"/>
    <x v="2"/>
    <x v="1"/>
    <s v="عميل 6"/>
    <x v="70"/>
  </r>
  <r>
    <n v="10610"/>
    <s v="محمد"/>
    <d v="2026-06-07T00:00:00"/>
    <x v="0"/>
    <x v="0"/>
    <x v="2"/>
    <x v="12"/>
    <x v="0"/>
    <x v="0"/>
    <n v="0.05"/>
    <x v="2"/>
    <x v="2"/>
    <s v="عميل 4"/>
    <x v="0"/>
  </r>
  <r>
    <n v="10611"/>
    <s v="حسن"/>
    <d v="2026-11-12T00:00:00"/>
    <x v="13"/>
    <x v="1"/>
    <x v="3"/>
    <x v="17"/>
    <x v="7"/>
    <x v="13"/>
    <n v="0.15"/>
    <x v="0"/>
    <x v="1"/>
    <s v="عميل 100"/>
    <x v="49"/>
  </r>
  <r>
    <n v="10612"/>
    <s v="أحمد"/>
    <d v="2026-11-27T00:00:00"/>
    <x v="9"/>
    <x v="4"/>
    <x v="3"/>
    <x v="24"/>
    <x v="6"/>
    <x v="9"/>
    <n v="7.0000000000000007E-2"/>
    <x v="3"/>
    <x v="3"/>
    <s v="عميل 80"/>
    <x v="20"/>
  </r>
  <r>
    <n v="10613"/>
    <s v="علي"/>
    <d v="2026-01-29T00:00:00"/>
    <x v="0"/>
    <x v="0"/>
    <x v="4"/>
    <x v="11"/>
    <x v="5"/>
    <x v="0"/>
    <n v="7.0000000000000007E-2"/>
    <x v="2"/>
    <x v="2"/>
    <s v="عميل 285"/>
    <x v="28"/>
  </r>
  <r>
    <n v="10614"/>
    <s v="محمود"/>
    <d v="2026-07-01T00:00:00"/>
    <x v="7"/>
    <x v="0"/>
    <x v="1"/>
    <x v="10"/>
    <x v="2"/>
    <x v="7"/>
    <n v="0.15"/>
    <x v="0"/>
    <x v="1"/>
    <s v="عميل 144"/>
    <x v="46"/>
  </r>
  <r>
    <n v="10615"/>
    <s v="مصطفى"/>
    <d v="2026-03-26T00:00:00"/>
    <x v="8"/>
    <x v="4"/>
    <x v="1"/>
    <x v="6"/>
    <x v="7"/>
    <x v="8"/>
    <n v="0.15"/>
    <x v="1"/>
    <x v="1"/>
    <s v="عميل 60"/>
    <x v="78"/>
  </r>
  <r>
    <n v="10616"/>
    <s v="أحمد"/>
    <d v="2026-05-20T00:00:00"/>
    <x v="8"/>
    <x v="4"/>
    <x v="7"/>
    <x v="19"/>
    <x v="5"/>
    <x v="8"/>
    <n v="0.15"/>
    <x v="1"/>
    <x v="0"/>
    <s v="عميل 255"/>
    <x v="8"/>
  </r>
  <r>
    <n v="10617"/>
    <s v="مؤمن"/>
    <d v="2026-09-26T00:00:00"/>
    <x v="11"/>
    <x v="5"/>
    <x v="2"/>
    <x v="2"/>
    <x v="6"/>
    <x v="11"/>
    <n v="0.05"/>
    <x v="2"/>
    <x v="1"/>
    <s v="عميل 58"/>
    <x v="62"/>
  </r>
  <r>
    <n v="10618"/>
    <s v="مصطفى"/>
    <d v="2026-01-13T00:00:00"/>
    <x v="9"/>
    <x v="4"/>
    <x v="1"/>
    <x v="10"/>
    <x v="3"/>
    <x v="9"/>
    <n v="7.0000000000000007E-2"/>
    <x v="1"/>
    <x v="1"/>
    <s v="عميل 98"/>
    <x v="65"/>
  </r>
  <r>
    <n v="10619"/>
    <s v="محمود"/>
    <d v="2026-03-15T00:00:00"/>
    <x v="9"/>
    <x v="4"/>
    <x v="4"/>
    <x v="11"/>
    <x v="4"/>
    <x v="9"/>
    <n v="0.05"/>
    <x v="0"/>
    <x v="1"/>
    <s v="عميل 106"/>
    <x v="53"/>
  </r>
  <r>
    <n v="10620"/>
    <s v="مصطفى"/>
    <d v="2026-03-01T00:00:00"/>
    <x v="10"/>
    <x v="3"/>
    <x v="1"/>
    <x v="3"/>
    <x v="7"/>
    <x v="10"/>
    <n v="0.15"/>
    <x v="0"/>
    <x v="2"/>
    <s v="عميل 23"/>
    <x v="70"/>
  </r>
  <r>
    <n v="10621"/>
    <s v="محمد"/>
    <d v="2026-09-24T00:00:00"/>
    <x v="0"/>
    <x v="0"/>
    <x v="0"/>
    <x v="13"/>
    <x v="6"/>
    <x v="0"/>
    <n v="0"/>
    <x v="2"/>
    <x v="0"/>
    <s v="عميل 296"/>
    <x v="111"/>
  </r>
  <r>
    <n v="10622"/>
    <s v="مؤمن"/>
    <d v="2026-04-09T00:00:00"/>
    <x v="4"/>
    <x v="3"/>
    <x v="7"/>
    <x v="19"/>
    <x v="1"/>
    <x v="4"/>
    <n v="0.05"/>
    <x v="2"/>
    <x v="2"/>
    <s v="عميل 273"/>
    <x v="94"/>
  </r>
  <r>
    <n v="10623"/>
    <s v="يوسف"/>
    <d v="2026-03-22T00:00:00"/>
    <x v="9"/>
    <x v="4"/>
    <x v="4"/>
    <x v="11"/>
    <x v="3"/>
    <x v="9"/>
    <n v="0.05"/>
    <x v="2"/>
    <x v="0"/>
    <s v="عميل 8"/>
    <x v="65"/>
  </r>
  <r>
    <n v="10624"/>
    <s v="مصطفى"/>
    <d v="2026-06-13T00:00:00"/>
    <x v="12"/>
    <x v="0"/>
    <x v="0"/>
    <x v="16"/>
    <x v="4"/>
    <x v="12"/>
    <n v="0.05"/>
    <x v="2"/>
    <x v="1"/>
    <s v="عميل 146"/>
    <x v="87"/>
  </r>
  <r>
    <n v="10625"/>
    <s v="حسن"/>
    <d v="2026-06-23T00:00:00"/>
    <x v="12"/>
    <x v="0"/>
    <x v="2"/>
    <x v="5"/>
    <x v="3"/>
    <x v="12"/>
    <n v="0.05"/>
    <x v="1"/>
    <x v="0"/>
    <s v="عميل 67"/>
    <x v="38"/>
  </r>
  <r>
    <n v="10626"/>
    <s v="علي"/>
    <d v="2026-01-28T00:00:00"/>
    <x v="1"/>
    <x v="1"/>
    <x v="4"/>
    <x v="11"/>
    <x v="9"/>
    <x v="1"/>
    <n v="0"/>
    <x v="0"/>
    <x v="3"/>
    <s v="عميل 201"/>
    <x v="107"/>
  </r>
  <r>
    <n v="10627"/>
    <s v="محمود"/>
    <d v="2026-04-12T00:00:00"/>
    <x v="3"/>
    <x v="1"/>
    <x v="4"/>
    <x v="11"/>
    <x v="5"/>
    <x v="3"/>
    <n v="0.05"/>
    <x v="0"/>
    <x v="3"/>
    <s v="عميل 291"/>
    <x v="81"/>
  </r>
  <r>
    <n v="10628"/>
    <s v="عمر"/>
    <d v="2026-12-17T00:00:00"/>
    <x v="3"/>
    <x v="1"/>
    <x v="0"/>
    <x v="26"/>
    <x v="3"/>
    <x v="3"/>
    <n v="7.0000000000000007E-2"/>
    <x v="1"/>
    <x v="3"/>
    <s v="عميل 119"/>
    <x v="3"/>
  </r>
  <r>
    <n v="10629"/>
    <s v="يوسف"/>
    <d v="2026-12-25T00:00:00"/>
    <x v="5"/>
    <x v="4"/>
    <x v="5"/>
    <x v="21"/>
    <x v="5"/>
    <x v="5"/>
    <n v="7.0000000000000007E-2"/>
    <x v="2"/>
    <x v="2"/>
    <s v="عميل 233"/>
    <x v="29"/>
  </r>
  <r>
    <n v="10630"/>
    <s v="محمود"/>
    <d v="2026-09-03T00:00:00"/>
    <x v="6"/>
    <x v="2"/>
    <x v="1"/>
    <x v="1"/>
    <x v="6"/>
    <x v="6"/>
    <n v="0"/>
    <x v="1"/>
    <x v="1"/>
    <s v="عميل 145"/>
    <x v="47"/>
  </r>
  <r>
    <n v="10631"/>
    <s v="مصطفى"/>
    <d v="2026-02-22T00:00:00"/>
    <x v="4"/>
    <x v="3"/>
    <x v="3"/>
    <x v="24"/>
    <x v="2"/>
    <x v="4"/>
    <n v="0.03"/>
    <x v="1"/>
    <x v="0"/>
    <s v="عميل 167"/>
    <x v="116"/>
  </r>
  <r>
    <n v="10632"/>
    <s v="علي"/>
    <d v="2026-10-30T00:00:00"/>
    <x v="7"/>
    <x v="0"/>
    <x v="0"/>
    <x v="13"/>
    <x v="4"/>
    <x v="7"/>
    <n v="7.0000000000000007E-2"/>
    <x v="1"/>
    <x v="1"/>
    <s v="عميل 125"/>
    <x v="85"/>
  </r>
  <r>
    <n v="10633"/>
    <s v="محمود"/>
    <d v="2026-04-17T00:00:00"/>
    <x v="7"/>
    <x v="0"/>
    <x v="5"/>
    <x v="8"/>
    <x v="7"/>
    <x v="7"/>
    <n v="0"/>
    <x v="1"/>
    <x v="3"/>
    <s v="عميل 291"/>
    <x v="125"/>
  </r>
  <r>
    <n v="10634"/>
    <s v="محمد"/>
    <d v="2026-12-31T00:00:00"/>
    <x v="4"/>
    <x v="3"/>
    <x v="3"/>
    <x v="24"/>
    <x v="1"/>
    <x v="4"/>
    <n v="0.03"/>
    <x v="1"/>
    <x v="0"/>
    <s v="عميل 238"/>
    <x v="94"/>
  </r>
  <r>
    <n v="10635"/>
    <s v="علي"/>
    <d v="2026-02-05T00:00:00"/>
    <x v="9"/>
    <x v="4"/>
    <x v="0"/>
    <x v="26"/>
    <x v="8"/>
    <x v="9"/>
    <n v="0.05"/>
    <x v="0"/>
    <x v="3"/>
    <s v="عميل 168"/>
    <x v="86"/>
  </r>
  <r>
    <n v="10636"/>
    <s v="حسن"/>
    <d v="2026-11-22T00:00:00"/>
    <x v="6"/>
    <x v="2"/>
    <x v="1"/>
    <x v="1"/>
    <x v="1"/>
    <x v="6"/>
    <n v="0.03"/>
    <x v="0"/>
    <x v="1"/>
    <s v="عميل 77"/>
    <x v="39"/>
  </r>
  <r>
    <n v="10637"/>
    <s v="كريم"/>
    <d v="2026-04-11T00:00:00"/>
    <x v="6"/>
    <x v="2"/>
    <x v="7"/>
    <x v="15"/>
    <x v="2"/>
    <x v="6"/>
    <n v="0.1"/>
    <x v="3"/>
    <x v="2"/>
    <s v="عميل 154"/>
    <x v="114"/>
  </r>
  <r>
    <n v="10638"/>
    <s v="حسن"/>
    <d v="2026-01-05T00:00:00"/>
    <x v="12"/>
    <x v="0"/>
    <x v="7"/>
    <x v="15"/>
    <x v="5"/>
    <x v="12"/>
    <n v="0"/>
    <x v="1"/>
    <x v="1"/>
    <s v="عميل 151"/>
    <x v="61"/>
  </r>
  <r>
    <n v="10639"/>
    <s v="مصطفى"/>
    <d v="2026-07-03T00:00:00"/>
    <x v="1"/>
    <x v="1"/>
    <x v="3"/>
    <x v="24"/>
    <x v="9"/>
    <x v="1"/>
    <n v="0"/>
    <x v="0"/>
    <x v="2"/>
    <s v="عميل 16"/>
    <x v="107"/>
  </r>
  <r>
    <n v="10640"/>
    <s v="محمود"/>
    <d v="2026-12-31T00:00:00"/>
    <x v="5"/>
    <x v="4"/>
    <x v="6"/>
    <x v="22"/>
    <x v="2"/>
    <x v="5"/>
    <n v="7.0000000000000007E-2"/>
    <x v="1"/>
    <x v="3"/>
    <s v="عميل 196"/>
    <x v="15"/>
  </r>
  <r>
    <n v="10641"/>
    <s v="يوسف"/>
    <d v="2026-04-07T00:00:00"/>
    <x v="2"/>
    <x v="2"/>
    <x v="2"/>
    <x v="12"/>
    <x v="8"/>
    <x v="2"/>
    <n v="7.0000000000000007E-2"/>
    <x v="1"/>
    <x v="2"/>
    <s v="عميل 214"/>
    <x v="10"/>
  </r>
  <r>
    <n v="10642"/>
    <s v="أحمد"/>
    <d v="2026-02-06T00:00:00"/>
    <x v="3"/>
    <x v="1"/>
    <x v="7"/>
    <x v="19"/>
    <x v="8"/>
    <x v="3"/>
    <n v="0.03"/>
    <x v="0"/>
    <x v="1"/>
    <s v="عميل 250"/>
    <x v="44"/>
  </r>
  <r>
    <n v="10643"/>
    <s v="علي"/>
    <d v="2026-08-22T00:00:00"/>
    <x v="0"/>
    <x v="0"/>
    <x v="6"/>
    <x v="23"/>
    <x v="3"/>
    <x v="0"/>
    <n v="0.03"/>
    <x v="1"/>
    <x v="1"/>
    <s v="عميل 233"/>
    <x v="105"/>
  </r>
  <r>
    <n v="10644"/>
    <s v="محمود"/>
    <d v="2026-04-26T00:00:00"/>
    <x v="7"/>
    <x v="0"/>
    <x v="6"/>
    <x v="22"/>
    <x v="6"/>
    <x v="7"/>
    <n v="7.0000000000000007E-2"/>
    <x v="3"/>
    <x v="3"/>
    <s v="عميل 4"/>
    <x v="7"/>
  </r>
  <r>
    <n v="10645"/>
    <s v="مصطفى"/>
    <d v="2026-05-18T00:00:00"/>
    <x v="12"/>
    <x v="0"/>
    <x v="4"/>
    <x v="11"/>
    <x v="1"/>
    <x v="12"/>
    <n v="0.15"/>
    <x v="1"/>
    <x v="2"/>
    <s v="عميل 18"/>
    <x v="75"/>
  </r>
  <r>
    <n v="10646"/>
    <s v="حسن"/>
    <d v="2026-09-04T00:00:00"/>
    <x v="1"/>
    <x v="1"/>
    <x v="4"/>
    <x v="11"/>
    <x v="5"/>
    <x v="1"/>
    <n v="0"/>
    <x v="0"/>
    <x v="1"/>
    <s v="عميل 270"/>
    <x v="64"/>
  </r>
  <r>
    <n v="10647"/>
    <s v="مصطفى"/>
    <d v="2026-11-09T00:00:00"/>
    <x v="8"/>
    <x v="4"/>
    <x v="7"/>
    <x v="15"/>
    <x v="4"/>
    <x v="8"/>
    <n v="0"/>
    <x v="0"/>
    <x v="1"/>
    <s v="عميل 242"/>
    <x v="12"/>
  </r>
  <r>
    <n v="10648"/>
    <s v="محمود"/>
    <d v="2026-10-01T00:00:00"/>
    <x v="0"/>
    <x v="0"/>
    <x v="0"/>
    <x v="13"/>
    <x v="2"/>
    <x v="0"/>
    <n v="0"/>
    <x v="0"/>
    <x v="3"/>
    <s v="عميل 233"/>
    <x v="11"/>
  </r>
  <r>
    <n v="10649"/>
    <s v="محمود"/>
    <d v="2026-05-31T00:00:00"/>
    <x v="7"/>
    <x v="0"/>
    <x v="4"/>
    <x v="11"/>
    <x v="5"/>
    <x v="7"/>
    <n v="7.0000000000000007E-2"/>
    <x v="2"/>
    <x v="1"/>
    <s v="عميل 19"/>
    <x v="69"/>
  </r>
  <r>
    <n v="10650"/>
    <s v="أحمد"/>
    <d v="2026-11-19T00:00:00"/>
    <x v="10"/>
    <x v="3"/>
    <x v="7"/>
    <x v="19"/>
    <x v="2"/>
    <x v="10"/>
    <n v="0.05"/>
    <x v="1"/>
    <x v="1"/>
    <s v="عميل 294"/>
    <x v="103"/>
  </r>
  <r>
    <n v="10651"/>
    <s v="عمر"/>
    <d v="2026-09-06T00:00:00"/>
    <x v="1"/>
    <x v="1"/>
    <x v="7"/>
    <x v="19"/>
    <x v="2"/>
    <x v="1"/>
    <n v="0"/>
    <x v="0"/>
    <x v="1"/>
    <s v="عميل 259"/>
    <x v="40"/>
  </r>
  <r>
    <n v="10652"/>
    <s v="عمر"/>
    <d v="2026-05-21T00:00:00"/>
    <x v="13"/>
    <x v="1"/>
    <x v="7"/>
    <x v="15"/>
    <x v="8"/>
    <x v="13"/>
    <n v="0.1"/>
    <x v="2"/>
    <x v="0"/>
    <s v="عميل 58"/>
    <x v="71"/>
  </r>
  <r>
    <n v="10653"/>
    <s v="يوسف"/>
    <d v="2026-05-14T00:00:00"/>
    <x v="12"/>
    <x v="0"/>
    <x v="5"/>
    <x v="25"/>
    <x v="6"/>
    <x v="12"/>
    <n v="0.05"/>
    <x v="3"/>
    <x v="3"/>
    <s v="عميل 93"/>
    <x v="63"/>
  </r>
  <r>
    <n v="10654"/>
    <s v="حسن"/>
    <d v="2026-03-20T00:00:00"/>
    <x v="4"/>
    <x v="3"/>
    <x v="1"/>
    <x v="6"/>
    <x v="3"/>
    <x v="4"/>
    <n v="0.03"/>
    <x v="1"/>
    <x v="3"/>
    <s v="عميل 197"/>
    <x v="123"/>
  </r>
  <r>
    <n v="10655"/>
    <s v="حسن"/>
    <d v="2026-06-26T00:00:00"/>
    <x v="5"/>
    <x v="4"/>
    <x v="4"/>
    <x v="11"/>
    <x v="8"/>
    <x v="5"/>
    <n v="0.03"/>
    <x v="0"/>
    <x v="2"/>
    <s v="عميل 60"/>
    <x v="65"/>
  </r>
  <r>
    <n v="10656"/>
    <s v="عمر"/>
    <d v="2026-09-01T00:00:00"/>
    <x v="1"/>
    <x v="1"/>
    <x v="5"/>
    <x v="8"/>
    <x v="7"/>
    <x v="1"/>
    <n v="7.0000000000000007E-2"/>
    <x v="3"/>
    <x v="3"/>
    <s v="عميل 200"/>
    <x v="45"/>
  </r>
  <r>
    <n v="10657"/>
    <s v="أحمد"/>
    <d v="2026-05-28T00:00:00"/>
    <x v="6"/>
    <x v="2"/>
    <x v="7"/>
    <x v="18"/>
    <x v="4"/>
    <x v="6"/>
    <n v="7.0000000000000007E-2"/>
    <x v="1"/>
    <x v="3"/>
    <s v="عميل 162"/>
    <x v="13"/>
  </r>
  <r>
    <n v="10658"/>
    <s v="محمود"/>
    <d v="2026-08-10T00:00:00"/>
    <x v="7"/>
    <x v="0"/>
    <x v="1"/>
    <x v="1"/>
    <x v="4"/>
    <x v="7"/>
    <n v="0.15"/>
    <x v="2"/>
    <x v="2"/>
    <s v="عميل 139"/>
    <x v="85"/>
  </r>
  <r>
    <n v="10659"/>
    <s v="كريم"/>
    <d v="2026-12-12T00:00:00"/>
    <x v="14"/>
    <x v="4"/>
    <x v="0"/>
    <x v="13"/>
    <x v="2"/>
    <x v="14"/>
    <n v="7.0000000000000007E-2"/>
    <x v="3"/>
    <x v="1"/>
    <s v="عميل 267"/>
    <x v="58"/>
  </r>
  <r>
    <n v="10660"/>
    <s v="أحمد"/>
    <d v="2026-02-04T00:00:00"/>
    <x v="9"/>
    <x v="4"/>
    <x v="5"/>
    <x v="21"/>
    <x v="4"/>
    <x v="9"/>
    <n v="0"/>
    <x v="0"/>
    <x v="3"/>
    <s v="عميل 51"/>
    <x v="53"/>
  </r>
  <r>
    <n v="10661"/>
    <s v="عمر"/>
    <d v="2026-05-09T00:00:00"/>
    <x v="7"/>
    <x v="0"/>
    <x v="0"/>
    <x v="26"/>
    <x v="5"/>
    <x v="7"/>
    <n v="0.03"/>
    <x v="3"/>
    <x v="0"/>
    <s v="عميل 13"/>
    <x v="69"/>
  </r>
  <r>
    <n v="10662"/>
    <s v="مؤمن"/>
    <d v="2026-11-03T00:00:00"/>
    <x v="12"/>
    <x v="0"/>
    <x v="0"/>
    <x v="0"/>
    <x v="2"/>
    <x v="12"/>
    <n v="0.15"/>
    <x v="0"/>
    <x v="0"/>
    <s v="عميل 45"/>
    <x v="62"/>
  </r>
  <r>
    <n v="10663"/>
    <s v="محمد"/>
    <d v="2026-12-23T00:00:00"/>
    <x v="8"/>
    <x v="4"/>
    <x v="5"/>
    <x v="8"/>
    <x v="2"/>
    <x v="8"/>
    <n v="0.03"/>
    <x v="3"/>
    <x v="2"/>
    <s v="عميل 151"/>
    <x v="99"/>
  </r>
  <r>
    <n v="10664"/>
    <s v="محمود"/>
    <d v="2026-05-12T00:00:00"/>
    <x v="6"/>
    <x v="2"/>
    <x v="0"/>
    <x v="26"/>
    <x v="0"/>
    <x v="6"/>
    <n v="7.0000000000000007E-2"/>
    <x v="3"/>
    <x v="0"/>
    <s v="عميل 142"/>
    <x v="52"/>
  </r>
  <r>
    <n v="10665"/>
    <s v="أحمد"/>
    <d v="2026-05-13T00:00:00"/>
    <x v="4"/>
    <x v="3"/>
    <x v="1"/>
    <x v="3"/>
    <x v="7"/>
    <x v="4"/>
    <n v="0.05"/>
    <x v="2"/>
    <x v="1"/>
    <s v="عميل 226"/>
    <x v="127"/>
  </r>
  <r>
    <n v="10666"/>
    <s v="يوسف"/>
    <d v="2026-11-27T00:00:00"/>
    <x v="13"/>
    <x v="1"/>
    <x v="4"/>
    <x v="7"/>
    <x v="2"/>
    <x v="13"/>
    <n v="7.0000000000000007E-2"/>
    <x v="1"/>
    <x v="0"/>
    <s v="عميل 74"/>
    <x v="48"/>
  </r>
  <r>
    <n v="10667"/>
    <s v="محمد"/>
    <d v="2026-08-15T00:00:00"/>
    <x v="7"/>
    <x v="0"/>
    <x v="6"/>
    <x v="23"/>
    <x v="2"/>
    <x v="7"/>
    <n v="0.15"/>
    <x v="2"/>
    <x v="0"/>
    <s v="عميل 18"/>
    <x v="46"/>
  </r>
  <r>
    <n v="10668"/>
    <s v="كريم"/>
    <d v="2026-03-18T00:00:00"/>
    <x v="13"/>
    <x v="1"/>
    <x v="0"/>
    <x v="13"/>
    <x v="6"/>
    <x v="13"/>
    <n v="0"/>
    <x v="0"/>
    <x v="0"/>
    <s v="عميل 200"/>
    <x v="73"/>
  </r>
  <r>
    <n v="10669"/>
    <s v="أحمد"/>
    <d v="2026-09-21T00:00:00"/>
    <x v="14"/>
    <x v="4"/>
    <x v="5"/>
    <x v="21"/>
    <x v="7"/>
    <x v="14"/>
    <n v="0.1"/>
    <x v="1"/>
    <x v="3"/>
    <s v="عميل 224"/>
    <x v="84"/>
  </r>
  <r>
    <n v="10670"/>
    <s v="كريم"/>
    <d v="2026-03-04T00:00:00"/>
    <x v="2"/>
    <x v="2"/>
    <x v="0"/>
    <x v="16"/>
    <x v="9"/>
    <x v="2"/>
    <n v="7.0000000000000007E-2"/>
    <x v="2"/>
    <x v="2"/>
    <s v="عميل 156"/>
    <x v="41"/>
  </r>
  <r>
    <n v="10671"/>
    <s v="محمود"/>
    <d v="2026-02-11T00:00:00"/>
    <x v="2"/>
    <x v="2"/>
    <x v="1"/>
    <x v="1"/>
    <x v="5"/>
    <x v="2"/>
    <n v="0.1"/>
    <x v="1"/>
    <x v="2"/>
    <s v="عميل 104"/>
    <x v="52"/>
  </r>
  <r>
    <n v="10672"/>
    <s v="علي"/>
    <d v="2026-02-24T00:00:00"/>
    <x v="3"/>
    <x v="1"/>
    <x v="1"/>
    <x v="3"/>
    <x v="1"/>
    <x v="3"/>
    <n v="0.05"/>
    <x v="2"/>
    <x v="3"/>
    <s v="عميل 44"/>
    <x v="22"/>
  </r>
  <r>
    <n v="10673"/>
    <s v="أحمد"/>
    <d v="2026-04-09T00:00:00"/>
    <x v="11"/>
    <x v="5"/>
    <x v="4"/>
    <x v="11"/>
    <x v="1"/>
    <x v="11"/>
    <n v="0.03"/>
    <x v="0"/>
    <x v="1"/>
    <s v="عميل 251"/>
    <x v="102"/>
  </r>
  <r>
    <n v="10674"/>
    <s v="كريم"/>
    <d v="2026-01-09T00:00:00"/>
    <x v="2"/>
    <x v="2"/>
    <x v="0"/>
    <x v="13"/>
    <x v="6"/>
    <x v="2"/>
    <n v="0.1"/>
    <x v="0"/>
    <x v="2"/>
    <s v="عميل 29"/>
    <x v="42"/>
  </r>
  <r>
    <n v="10675"/>
    <s v="مصطفى"/>
    <d v="2026-08-23T00:00:00"/>
    <x v="9"/>
    <x v="4"/>
    <x v="1"/>
    <x v="3"/>
    <x v="3"/>
    <x v="9"/>
    <n v="0.03"/>
    <x v="3"/>
    <x v="1"/>
    <s v="عميل 37"/>
    <x v="65"/>
  </r>
  <r>
    <n v="10676"/>
    <s v="حسن"/>
    <d v="2026-01-24T00:00:00"/>
    <x v="1"/>
    <x v="1"/>
    <x v="5"/>
    <x v="8"/>
    <x v="9"/>
    <x v="1"/>
    <n v="7.0000000000000007E-2"/>
    <x v="3"/>
    <x v="1"/>
    <s v="عميل 8"/>
    <x v="107"/>
  </r>
  <r>
    <n v="10677"/>
    <s v="حسن"/>
    <d v="2026-03-29T00:00:00"/>
    <x v="3"/>
    <x v="1"/>
    <x v="1"/>
    <x v="6"/>
    <x v="3"/>
    <x v="3"/>
    <n v="7.0000000000000007E-2"/>
    <x v="0"/>
    <x v="0"/>
    <s v="عميل 59"/>
    <x v="3"/>
  </r>
  <r>
    <n v="10678"/>
    <s v="محمود"/>
    <d v="2026-12-14T00:00:00"/>
    <x v="6"/>
    <x v="2"/>
    <x v="2"/>
    <x v="5"/>
    <x v="1"/>
    <x v="6"/>
    <n v="7.0000000000000007E-2"/>
    <x v="1"/>
    <x v="2"/>
    <s v="عميل 62"/>
    <x v="39"/>
  </r>
  <r>
    <n v="10679"/>
    <s v="حسن"/>
    <d v="2026-03-30T00:00:00"/>
    <x v="0"/>
    <x v="0"/>
    <x v="5"/>
    <x v="21"/>
    <x v="1"/>
    <x v="0"/>
    <n v="0"/>
    <x v="2"/>
    <x v="0"/>
    <s v="عميل 62"/>
    <x v="27"/>
  </r>
  <r>
    <n v="10680"/>
    <s v="محمود"/>
    <d v="2026-10-11T00:00:00"/>
    <x v="14"/>
    <x v="4"/>
    <x v="5"/>
    <x v="8"/>
    <x v="8"/>
    <x v="14"/>
    <n v="0.15"/>
    <x v="3"/>
    <x v="3"/>
    <s v="عميل 125"/>
    <x v="4"/>
  </r>
  <r>
    <n v="10681"/>
    <s v="حسن"/>
    <d v="2026-07-12T00:00:00"/>
    <x v="11"/>
    <x v="5"/>
    <x v="1"/>
    <x v="10"/>
    <x v="3"/>
    <x v="11"/>
    <n v="0.15"/>
    <x v="3"/>
    <x v="0"/>
    <s v="عميل 250"/>
    <x v="59"/>
  </r>
  <r>
    <n v="10682"/>
    <s v="حسن"/>
    <d v="2026-05-26T00:00:00"/>
    <x v="13"/>
    <x v="1"/>
    <x v="1"/>
    <x v="1"/>
    <x v="8"/>
    <x v="13"/>
    <n v="0"/>
    <x v="1"/>
    <x v="3"/>
    <s v="عميل 65"/>
    <x v="71"/>
  </r>
  <r>
    <n v="10683"/>
    <s v="علي"/>
    <d v="2026-05-03T00:00:00"/>
    <x v="5"/>
    <x v="4"/>
    <x v="5"/>
    <x v="21"/>
    <x v="4"/>
    <x v="5"/>
    <n v="7.0000000000000007E-2"/>
    <x v="3"/>
    <x v="0"/>
    <s v="عميل 93"/>
    <x v="110"/>
  </r>
  <r>
    <n v="10684"/>
    <s v="عمر"/>
    <d v="2026-06-28T00:00:00"/>
    <x v="10"/>
    <x v="3"/>
    <x v="4"/>
    <x v="11"/>
    <x v="3"/>
    <x v="10"/>
    <n v="0.15"/>
    <x v="1"/>
    <x v="0"/>
    <s v="عميل 286"/>
    <x v="19"/>
  </r>
  <r>
    <n v="10685"/>
    <s v="حسن"/>
    <d v="2026-07-05T00:00:00"/>
    <x v="5"/>
    <x v="4"/>
    <x v="2"/>
    <x v="5"/>
    <x v="4"/>
    <x v="5"/>
    <n v="0"/>
    <x v="3"/>
    <x v="3"/>
    <s v="عميل 107"/>
    <x v="110"/>
  </r>
  <r>
    <n v="10686"/>
    <s v="كريم"/>
    <d v="2026-09-12T00:00:00"/>
    <x v="14"/>
    <x v="4"/>
    <x v="1"/>
    <x v="10"/>
    <x v="3"/>
    <x v="14"/>
    <n v="0.03"/>
    <x v="3"/>
    <x v="1"/>
    <s v="عميل 23"/>
    <x v="66"/>
  </r>
  <r>
    <n v="10687"/>
    <s v="عمر"/>
    <d v="2026-06-21T00:00:00"/>
    <x v="1"/>
    <x v="1"/>
    <x v="3"/>
    <x v="17"/>
    <x v="1"/>
    <x v="1"/>
    <n v="7.0000000000000007E-2"/>
    <x v="1"/>
    <x v="0"/>
    <s v="عميل 54"/>
    <x v="1"/>
  </r>
  <r>
    <n v="10688"/>
    <s v="كريم"/>
    <d v="2026-09-21T00:00:00"/>
    <x v="10"/>
    <x v="3"/>
    <x v="1"/>
    <x v="10"/>
    <x v="8"/>
    <x v="10"/>
    <n v="0"/>
    <x v="0"/>
    <x v="0"/>
    <s v="عميل 121"/>
    <x v="98"/>
  </r>
  <r>
    <n v="10689"/>
    <s v="علي"/>
    <d v="2026-04-12T00:00:00"/>
    <x v="10"/>
    <x v="3"/>
    <x v="4"/>
    <x v="11"/>
    <x v="2"/>
    <x v="10"/>
    <n v="0.05"/>
    <x v="2"/>
    <x v="1"/>
    <s v="عميل 57"/>
    <x v="103"/>
  </r>
  <r>
    <n v="10690"/>
    <s v="علي"/>
    <d v="2026-04-13T00:00:00"/>
    <x v="9"/>
    <x v="4"/>
    <x v="2"/>
    <x v="5"/>
    <x v="1"/>
    <x v="9"/>
    <n v="0.15"/>
    <x v="1"/>
    <x v="1"/>
    <s v="عميل 38"/>
    <x v="29"/>
  </r>
  <r>
    <n v="10691"/>
    <s v="مؤمن"/>
    <d v="2026-11-09T00:00:00"/>
    <x v="6"/>
    <x v="2"/>
    <x v="4"/>
    <x v="7"/>
    <x v="7"/>
    <x v="6"/>
    <n v="0.03"/>
    <x v="1"/>
    <x v="1"/>
    <s v="عميل 199"/>
    <x v="60"/>
  </r>
  <r>
    <n v="10692"/>
    <s v="محمود"/>
    <d v="2026-05-19T00:00:00"/>
    <x v="9"/>
    <x v="4"/>
    <x v="5"/>
    <x v="8"/>
    <x v="1"/>
    <x v="9"/>
    <n v="0.15"/>
    <x v="3"/>
    <x v="2"/>
    <s v="عميل 66"/>
    <x v="29"/>
  </r>
  <r>
    <n v="10693"/>
    <s v="كريم"/>
    <d v="2026-08-23T00:00:00"/>
    <x v="1"/>
    <x v="1"/>
    <x v="1"/>
    <x v="6"/>
    <x v="8"/>
    <x v="1"/>
    <n v="0"/>
    <x v="1"/>
    <x v="1"/>
    <s v="عميل 176"/>
    <x v="2"/>
  </r>
  <r>
    <n v="10694"/>
    <s v="حسن"/>
    <d v="2026-03-29T00:00:00"/>
    <x v="5"/>
    <x v="4"/>
    <x v="7"/>
    <x v="19"/>
    <x v="8"/>
    <x v="5"/>
    <n v="0.15"/>
    <x v="3"/>
    <x v="0"/>
    <s v="عميل 211"/>
    <x v="65"/>
  </r>
  <r>
    <n v="10695"/>
    <s v="كريم"/>
    <d v="2026-05-23T00:00:00"/>
    <x v="8"/>
    <x v="4"/>
    <x v="4"/>
    <x v="7"/>
    <x v="2"/>
    <x v="8"/>
    <n v="7.0000000000000007E-2"/>
    <x v="0"/>
    <x v="3"/>
    <s v="عميل 127"/>
    <x v="99"/>
  </r>
  <r>
    <n v="10696"/>
    <s v="حسن"/>
    <d v="2026-03-18T00:00:00"/>
    <x v="5"/>
    <x v="4"/>
    <x v="3"/>
    <x v="17"/>
    <x v="2"/>
    <x v="5"/>
    <n v="0.03"/>
    <x v="0"/>
    <x v="3"/>
    <s v="عميل 23"/>
    <x v="15"/>
  </r>
  <r>
    <n v="10697"/>
    <s v="علي"/>
    <d v="2026-09-29T00:00:00"/>
    <x v="1"/>
    <x v="1"/>
    <x v="4"/>
    <x v="11"/>
    <x v="4"/>
    <x v="1"/>
    <n v="0"/>
    <x v="1"/>
    <x v="3"/>
    <s v="عميل 51"/>
    <x v="25"/>
  </r>
  <r>
    <n v="10698"/>
    <s v="أحمد"/>
    <d v="2026-12-21T00:00:00"/>
    <x v="6"/>
    <x v="2"/>
    <x v="4"/>
    <x v="7"/>
    <x v="3"/>
    <x v="6"/>
    <n v="0.1"/>
    <x v="1"/>
    <x v="1"/>
    <s v="عميل 68"/>
    <x v="14"/>
  </r>
  <r>
    <n v="10699"/>
    <s v="كريم"/>
    <d v="2026-12-09T00:00:00"/>
    <x v="9"/>
    <x v="4"/>
    <x v="7"/>
    <x v="18"/>
    <x v="3"/>
    <x v="9"/>
    <n v="0"/>
    <x v="2"/>
    <x v="1"/>
    <s v="عميل 236"/>
    <x v="65"/>
  </r>
  <r>
    <n v="10700"/>
    <s v="علي"/>
    <d v="2026-04-05T00:00:00"/>
    <x v="8"/>
    <x v="4"/>
    <x v="1"/>
    <x v="3"/>
    <x v="6"/>
    <x v="8"/>
    <n v="0.03"/>
    <x v="2"/>
    <x v="3"/>
    <s v="عميل 1"/>
    <x v="91"/>
  </r>
  <r>
    <n v="10701"/>
    <s v="أحمد"/>
    <d v="2026-06-01T00:00:00"/>
    <x v="8"/>
    <x v="4"/>
    <x v="0"/>
    <x v="26"/>
    <x v="5"/>
    <x v="8"/>
    <n v="0.1"/>
    <x v="1"/>
    <x v="2"/>
    <s v="عميل 278"/>
    <x v="8"/>
  </r>
  <r>
    <n v="10702"/>
    <s v="محمود"/>
    <d v="2026-01-29T00:00:00"/>
    <x v="12"/>
    <x v="0"/>
    <x v="2"/>
    <x v="12"/>
    <x v="3"/>
    <x v="12"/>
    <n v="0.1"/>
    <x v="2"/>
    <x v="0"/>
    <s v="عميل 57"/>
    <x v="38"/>
  </r>
  <r>
    <n v="10703"/>
    <s v="محمود"/>
    <d v="2026-07-07T00:00:00"/>
    <x v="2"/>
    <x v="2"/>
    <x v="3"/>
    <x v="17"/>
    <x v="2"/>
    <x v="2"/>
    <n v="0"/>
    <x v="3"/>
    <x v="0"/>
    <s v="عميل 288"/>
    <x v="2"/>
  </r>
  <r>
    <n v="10704"/>
    <s v="مصطفى"/>
    <d v="2026-02-28T00:00:00"/>
    <x v="10"/>
    <x v="3"/>
    <x v="2"/>
    <x v="5"/>
    <x v="5"/>
    <x v="10"/>
    <n v="0.03"/>
    <x v="1"/>
    <x v="1"/>
    <s v="عميل 116"/>
    <x v="89"/>
  </r>
  <r>
    <n v="10705"/>
    <s v="علي"/>
    <d v="2026-05-22T00:00:00"/>
    <x v="9"/>
    <x v="4"/>
    <x v="3"/>
    <x v="17"/>
    <x v="4"/>
    <x v="9"/>
    <n v="0.15"/>
    <x v="0"/>
    <x v="0"/>
    <s v="عميل 191"/>
    <x v="53"/>
  </r>
  <r>
    <n v="10706"/>
    <s v="محمد"/>
    <d v="2026-08-29T00:00:00"/>
    <x v="9"/>
    <x v="4"/>
    <x v="4"/>
    <x v="20"/>
    <x v="4"/>
    <x v="9"/>
    <n v="0.1"/>
    <x v="2"/>
    <x v="3"/>
    <s v="عميل 189"/>
    <x v="53"/>
  </r>
  <r>
    <n v="10707"/>
    <s v="محمد"/>
    <d v="2026-07-20T00:00:00"/>
    <x v="4"/>
    <x v="3"/>
    <x v="0"/>
    <x v="16"/>
    <x v="6"/>
    <x v="4"/>
    <n v="0"/>
    <x v="3"/>
    <x v="2"/>
    <s v="عميل 40"/>
    <x v="18"/>
  </r>
  <r>
    <n v="10708"/>
    <s v="يوسف"/>
    <d v="2026-09-12T00:00:00"/>
    <x v="13"/>
    <x v="1"/>
    <x v="5"/>
    <x v="21"/>
    <x v="3"/>
    <x v="13"/>
    <n v="0.15"/>
    <x v="3"/>
    <x v="1"/>
    <s v="عميل 267"/>
    <x v="96"/>
  </r>
  <r>
    <n v="10709"/>
    <s v="مصطفى"/>
    <d v="2026-03-09T00:00:00"/>
    <x v="0"/>
    <x v="0"/>
    <x v="1"/>
    <x v="6"/>
    <x v="7"/>
    <x v="0"/>
    <n v="0.15"/>
    <x v="1"/>
    <x v="2"/>
    <s v="عميل 216"/>
    <x v="79"/>
  </r>
  <r>
    <n v="10710"/>
    <s v="أحمد"/>
    <d v="2026-04-29T00:00:00"/>
    <x v="6"/>
    <x v="2"/>
    <x v="1"/>
    <x v="6"/>
    <x v="1"/>
    <x v="6"/>
    <n v="0"/>
    <x v="2"/>
    <x v="3"/>
    <s v="عميل 297"/>
    <x v="39"/>
  </r>
  <r>
    <n v="10711"/>
    <s v="مصطفى"/>
    <d v="2026-10-08T00:00:00"/>
    <x v="9"/>
    <x v="4"/>
    <x v="3"/>
    <x v="17"/>
    <x v="2"/>
    <x v="9"/>
    <n v="0.15"/>
    <x v="1"/>
    <x v="3"/>
    <s v="عميل 156"/>
    <x v="14"/>
  </r>
  <r>
    <n v="10712"/>
    <s v="مؤمن"/>
    <d v="2026-09-05T00:00:00"/>
    <x v="12"/>
    <x v="0"/>
    <x v="5"/>
    <x v="21"/>
    <x v="8"/>
    <x v="12"/>
    <n v="0.05"/>
    <x v="2"/>
    <x v="2"/>
    <s v="عميل 25"/>
    <x v="119"/>
  </r>
  <r>
    <n v="10713"/>
    <s v="حسن"/>
    <d v="2026-03-24T00:00:00"/>
    <x v="3"/>
    <x v="1"/>
    <x v="3"/>
    <x v="17"/>
    <x v="6"/>
    <x v="3"/>
    <n v="0.03"/>
    <x v="2"/>
    <x v="1"/>
    <s v="عميل 90"/>
    <x v="122"/>
  </r>
  <r>
    <n v="10714"/>
    <s v="أحمد"/>
    <d v="2026-06-12T00:00:00"/>
    <x v="8"/>
    <x v="4"/>
    <x v="5"/>
    <x v="25"/>
    <x v="1"/>
    <x v="8"/>
    <n v="0"/>
    <x v="3"/>
    <x v="3"/>
    <s v="عميل 134"/>
    <x v="23"/>
  </r>
  <r>
    <n v="10715"/>
    <s v="أحمد"/>
    <d v="2026-12-07T00:00:00"/>
    <x v="9"/>
    <x v="4"/>
    <x v="5"/>
    <x v="25"/>
    <x v="4"/>
    <x v="9"/>
    <n v="0.15"/>
    <x v="2"/>
    <x v="2"/>
    <s v="عميل 76"/>
    <x v="53"/>
  </r>
  <r>
    <n v="10716"/>
    <s v="عمر"/>
    <d v="2026-03-04T00:00:00"/>
    <x v="9"/>
    <x v="4"/>
    <x v="4"/>
    <x v="11"/>
    <x v="8"/>
    <x v="9"/>
    <n v="0.1"/>
    <x v="0"/>
    <x v="3"/>
    <s v="عميل 256"/>
    <x v="86"/>
  </r>
  <r>
    <n v="10717"/>
    <s v="أحمد"/>
    <d v="2026-10-07T00:00:00"/>
    <x v="4"/>
    <x v="3"/>
    <x v="5"/>
    <x v="8"/>
    <x v="5"/>
    <x v="4"/>
    <n v="0.03"/>
    <x v="2"/>
    <x v="2"/>
    <s v="عميل 243"/>
    <x v="66"/>
  </r>
  <r>
    <n v="10718"/>
    <s v="كريم"/>
    <d v="2026-06-23T00:00:00"/>
    <x v="11"/>
    <x v="5"/>
    <x v="7"/>
    <x v="19"/>
    <x v="8"/>
    <x v="11"/>
    <n v="0.1"/>
    <x v="0"/>
    <x v="3"/>
    <s v="عميل 21"/>
    <x v="35"/>
  </r>
  <r>
    <n v="10719"/>
    <s v="حسن"/>
    <d v="2026-04-23T00:00:00"/>
    <x v="3"/>
    <x v="1"/>
    <x v="0"/>
    <x v="13"/>
    <x v="9"/>
    <x v="3"/>
    <n v="7.0000000000000007E-2"/>
    <x v="1"/>
    <x v="2"/>
    <s v="عميل 48"/>
    <x v="46"/>
  </r>
  <r>
    <n v="10720"/>
    <s v="مؤمن"/>
    <d v="2026-05-23T00:00:00"/>
    <x v="9"/>
    <x v="4"/>
    <x v="1"/>
    <x v="10"/>
    <x v="2"/>
    <x v="9"/>
    <n v="0.1"/>
    <x v="3"/>
    <x v="0"/>
    <s v="عميل 43"/>
    <x v="14"/>
  </r>
  <r>
    <n v="10721"/>
    <s v="علي"/>
    <d v="2026-04-10T00:00:00"/>
    <x v="7"/>
    <x v="0"/>
    <x v="4"/>
    <x v="11"/>
    <x v="3"/>
    <x v="7"/>
    <n v="0.1"/>
    <x v="1"/>
    <x v="2"/>
    <s v="عميل 262"/>
    <x v="51"/>
  </r>
  <r>
    <n v="10722"/>
    <s v="علي"/>
    <d v="2026-07-09T00:00:00"/>
    <x v="1"/>
    <x v="1"/>
    <x v="3"/>
    <x v="17"/>
    <x v="8"/>
    <x v="1"/>
    <n v="0.15"/>
    <x v="1"/>
    <x v="2"/>
    <s v="عميل 7"/>
    <x v="2"/>
  </r>
  <r>
    <n v="10723"/>
    <s v="مصطفى"/>
    <d v="2026-02-14T00:00:00"/>
    <x v="14"/>
    <x v="4"/>
    <x v="3"/>
    <x v="17"/>
    <x v="0"/>
    <x v="14"/>
    <n v="7.0000000000000007E-2"/>
    <x v="3"/>
    <x v="3"/>
    <s v="عميل 213"/>
    <x v="43"/>
  </r>
  <r>
    <n v="10724"/>
    <s v="علي"/>
    <d v="2026-08-01T00:00:00"/>
    <x v="4"/>
    <x v="3"/>
    <x v="4"/>
    <x v="20"/>
    <x v="8"/>
    <x v="4"/>
    <n v="0.15"/>
    <x v="3"/>
    <x v="0"/>
    <s v="عميل 74"/>
    <x v="32"/>
  </r>
  <r>
    <n v="10725"/>
    <s v="محمد"/>
    <d v="2026-10-30T00:00:00"/>
    <x v="5"/>
    <x v="4"/>
    <x v="7"/>
    <x v="15"/>
    <x v="4"/>
    <x v="5"/>
    <n v="0.05"/>
    <x v="1"/>
    <x v="0"/>
    <s v="عميل 4"/>
    <x v="110"/>
  </r>
  <r>
    <n v="10726"/>
    <s v="كريم"/>
    <d v="2026-12-30T00:00:00"/>
    <x v="2"/>
    <x v="2"/>
    <x v="7"/>
    <x v="15"/>
    <x v="8"/>
    <x v="2"/>
    <n v="0.1"/>
    <x v="3"/>
    <x v="1"/>
    <s v="عميل 96"/>
    <x v="10"/>
  </r>
  <r>
    <n v="10727"/>
    <s v="أحمد"/>
    <d v="2026-06-04T00:00:00"/>
    <x v="8"/>
    <x v="4"/>
    <x v="6"/>
    <x v="14"/>
    <x v="4"/>
    <x v="8"/>
    <n v="7.0000000000000007E-2"/>
    <x v="2"/>
    <x v="3"/>
    <s v="عميل 287"/>
    <x v="12"/>
  </r>
  <r>
    <n v="10728"/>
    <s v="يوسف"/>
    <d v="2026-05-15T00:00:00"/>
    <x v="10"/>
    <x v="3"/>
    <x v="4"/>
    <x v="7"/>
    <x v="9"/>
    <x v="10"/>
    <n v="0"/>
    <x v="2"/>
    <x v="3"/>
    <s v="عميل 64"/>
    <x v="115"/>
  </r>
  <r>
    <n v="10729"/>
    <s v="مؤمن"/>
    <d v="2026-01-15T00:00:00"/>
    <x v="0"/>
    <x v="0"/>
    <x v="7"/>
    <x v="15"/>
    <x v="8"/>
    <x v="0"/>
    <n v="7.0000000000000007E-2"/>
    <x v="0"/>
    <x v="2"/>
    <s v="عميل 253"/>
    <x v="16"/>
  </r>
  <r>
    <n v="10730"/>
    <s v="علي"/>
    <d v="2026-05-13T00:00:00"/>
    <x v="13"/>
    <x v="1"/>
    <x v="3"/>
    <x v="24"/>
    <x v="6"/>
    <x v="13"/>
    <n v="0.1"/>
    <x v="1"/>
    <x v="0"/>
    <s v="عميل 192"/>
    <x v="73"/>
  </r>
  <r>
    <n v="10731"/>
    <s v="أحمد"/>
    <d v="2026-03-16T00:00:00"/>
    <x v="7"/>
    <x v="0"/>
    <x v="1"/>
    <x v="6"/>
    <x v="8"/>
    <x v="7"/>
    <n v="0.1"/>
    <x v="2"/>
    <x v="3"/>
    <s v="عميل 70"/>
    <x v="56"/>
  </r>
  <r>
    <n v="10732"/>
    <s v="علي"/>
    <d v="2026-11-22T00:00:00"/>
    <x v="9"/>
    <x v="4"/>
    <x v="5"/>
    <x v="9"/>
    <x v="0"/>
    <x v="9"/>
    <n v="0.05"/>
    <x v="2"/>
    <x v="0"/>
    <s v="عميل 149"/>
    <x v="36"/>
  </r>
  <r>
    <n v="10733"/>
    <s v="حسن"/>
    <d v="2026-03-27T00:00:00"/>
    <x v="14"/>
    <x v="4"/>
    <x v="0"/>
    <x v="16"/>
    <x v="8"/>
    <x v="14"/>
    <n v="0"/>
    <x v="2"/>
    <x v="2"/>
    <s v="عميل 155"/>
    <x v="4"/>
  </r>
  <r>
    <n v="10734"/>
    <s v="محمود"/>
    <d v="2026-03-15T00:00:00"/>
    <x v="14"/>
    <x v="4"/>
    <x v="3"/>
    <x v="4"/>
    <x v="4"/>
    <x v="14"/>
    <n v="0.1"/>
    <x v="0"/>
    <x v="1"/>
    <s v="عميل 266"/>
    <x v="92"/>
  </r>
  <r>
    <n v="10735"/>
    <s v="يوسف"/>
    <d v="2026-02-22T00:00:00"/>
    <x v="14"/>
    <x v="4"/>
    <x v="3"/>
    <x v="17"/>
    <x v="7"/>
    <x v="14"/>
    <n v="0.05"/>
    <x v="3"/>
    <x v="1"/>
    <s v="عميل 258"/>
    <x v="84"/>
  </r>
  <r>
    <n v="10736"/>
    <s v="مصطفى"/>
    <d v="2026-09-30T00:00:00"/>
    <x v="5"/>
    <x v="4"/>
    <x v="2"/>
    <x v="12"/>
    <x v="2"/>
    <x v="5"/>
    <n v="0.15"/>
    <x v="0"/>
    <x v="3"/>
    <s v="عميل 236"/>
    <x v="15"/>
  </r>
  <r>
    <n v="10737"/>
    <s v="كريم"/>
    <d v="2026-06-28T00:00:00"/>
    <x v="11"/>
    <x v="5"/>
    <x v="0"/>
    <x v="0"/>
    <x v="8"/>
    <x v="11"/>
    <n v="0"/>
    <x v="2"/>
    <x v="2"/>
    <s v="عميل 72"/>
    <x v="35"/>
  </r>
  <r>
    <n v="10738"/>
    <s v="يوسف"/>
    <d v="2026-12-30T00:00:00"/>
    <x v="8"/>
    <x v="4"/>
    <x v="4"/>
    <x v="11"/>
    <x v="4"/>
    <x v="8"/>
    <n v="0.05"/>
    <x v="2"/>
    <x v="0"/>
    <s v="عميل 61"/>
    <x v="12"/>
  </r>
  <r>
    <n v="10739"/>
    <s v="يوسف"/>
    <d v="2026-04-18T00:00:00"/>
    <x v="5"/>
    <x v="4"/>
    <x v="5"/>
    <x v="25"/>
    <x v="1"/>
    <x v="5"/>
    <n v="0.05"/>
    <x v="3"/>
    <x v="0"/>
    <s v="عميل 218"/>
    <x v="5"/>
  </r>
  <r>
    <n v="10740"/>
    <s v="علي"/>
    <d v="2026-01-22T00:00:00"/>
    <x v="10"/>
    <x v="3"/>
    <x v="0"/>
    <x v="0"/>
    <x v="9"/>
    <x v="10"/>
    <n v="7.0000000000000007E-2"/>
    <x v="3"/>
    <x v="0"/>
    <s v="عميل 17"/>
    <x v="115"/>
  </r>
  <r>
    <n v="10741"/>
    <s v="أحمد"/>
    <d v="2026-02-03T00:00:00"/>
    <x v="4"/>
    <x v="3"/>
    <x v="1"/>
    <x v="3"/>
    <x v="3"/>
    <x v="4"/>
    <n v="0.05"/>
    <x v="2"/>
    <x v="0"/>
    <s v="عميل 50"/>
    <x v="123"/>
  </r>
  <r>
    <n v="10742"/>
    <s v="يوسف"/>
    <d v="2026-12-10T00:00:00"/>
    <x v="4"/>
    <x v="3"/>
    <x v="0"/>
    <x v="16"/>
    <x v="2"/>
    <x v="4"/>
    <n v="0.03"/>
    <x v="2"/>
    <x v="0"/>
    <s v="عميل 47"/>
    <x v="116"/>
  </r>
  <r>
    <n v="10743"/>
    <s v="يوسف"/>
    <d v="2026-09-14T00:00:00"/>
    <x v="3"/>
    <x v="1"/>
    <x v="7"/>
    <x v="19"/>
    <x v="5"/>
    <x v="3"/>
    <n v="0.05"/>
    <x v="3"/>
    <x v="0"/>
    <s v="عميل 51"/>
    <x v="81"/>
  </r>
  <r>
    <n v="10744"/>
    <s v="يوسف"/>
    <d v="2026-10-03T00:00:00"/>
    <x v="8"/>
    <x v="4"/>
    <x v="1"/>
    <x v="10"/>
    <x v="1"/>
    <x v="8"/>
    <n v="0.05"/>
    <x v="0"/>
    <x v="0"/>
    <s v="عميل 110"/>
    <x v="23"/>
  </r>
  <r>
    <n v="10745"/>
    <s v="كريم"/>
    <d v="2026-12-11T00:00:00"/>
    <x v="11"/>
    <x v="5"/>
    <x v="4"/>
    <x v="20"/>
    <x v="2"/>
    <x v="11"/>
    <n v="0.03"/>
    <x v="0"/>
    <x v="1"/>
    <s v="عميل 182"/>
    <x v="124"/>
  </r>
  <r>
    <n v="10746"/>
    <s v="علي"/>
    <d v="2026-02-27T00:00:00"/>
    <x v="2"/>
    <x v="2"/>
    <x v="6"/>
    <x v="23"/>
    <x v="4"/>
    <x v="2"/>
    <n v="0.03"/>
    <x v="2"/>
    <x v="0"/>
    <s v="عميل 239"/>
    <x v="90"/>
  </r>
  <r>
    <n v="10747"/>
    <s v="عمر"/>
    <d v="2026-10-13T00:00:00"/>
    <x v="13"/>
    <x v="1"/>
    <x v="5"/>
    <x v="8"/>
    <x v="5"/>
    <x v="13"/>
    <n v="0.15"/>
    <x v="0"/>
    <x v="0"/>
    <s v="عميل 168"/>
    <x v="33"/>
  </r>
  <r>
    <n v="10748"/>
    <s v="حسن"/>
    <d v="2026-06-09T00:00:00"/>
    <x v="6"/>
    <x v="2"/>
    <x v="0"/>
    <x v="26"/>
    <x v="0"/>
    <x v="6"/>
    <n v="7.0000000000000007E-2"/>
    <x v="1"/>
    <x v="1"/>
    <s v="عميل 284"/>
    <x v="52"/>
  </r>
  <r>
    <n v="10749"/>
    <s v="كريم"/>
    <d v="2026-12-14T00:00:00"/>
    <x v="2"/>
    <x v="2"/>
    <x v="7"/>
    <x v="15"/>
    <x v="1"/>
    <x v="2"/>
    <n v="0"/>
    <x v="2"/>
    <x v="1"/>
    <s v="عميل 7"/>
    <x v="93"/>
  </r>
  <r>
    <n v="10750"/>
    <s v="كريم"/>
    <d v="2026-09-25T00:00:00"/>
    <x v="0"/>
    <x v="0"/>
    <x v="4"/>
    <x v="11"/>
    <x v="3"/>
    <x v="0"/>
    <n v="7.0000000000000007E-2"/>
    <x v="0"/>
    <x v="0"/>
    <s v="عميل 74"/>
    <x v="105"/>
  </r>
  <r>
    <n v="10751"/>
    <s v="يوسف"/>
    <d v="2026-02-03T00:00:00"/>
    <x v="2"/>
    <x v="2"/>
    <x v="6"/>
    <x v="22"/>
    <x v="2"/>
    <x v="2"/>
    <n v="0"/>
    <x v="2"/>
    <x v="1"/>
    <s v="عميل 174"/>
    <x v="2"/>
  </r>
  <r>
    <n v="10752"/>
    <s v="كريم"/>
    <d v="2026-05-23T00:00:00"/>
    <x v="5"/>
    <x v="4"/>
    <x v="6"/>
    <x v="23"/>
    <x v="1"/>
    <x v="5"/>
    <n v="7.0000000000000007E-2"/>
    <x v="2"/>
    <x v="3"/>
    <s v="عميل 183"/>
    <x v="5"/>
  </r>
  <r>
    <n v="10753"/>
    <s v="يوسف"/>
    <d v="2026-08-21T00:00:00"/>
    <x v="6"/>
    <x v="2"/>
    <x v="6"/>
    <x v="14"/>
    <x v="4"/>
    <x v="6"/>
    <n v="0.05"/>
    <x v="0"/>
    <x v="0"/>
    <s v="عميل 129"/>
    <x v="13"/>
  </r>
  <r>
    <n v="10754"/>
    <s v="محمد"/>
    <d v="2026-01-28T00:00:00"/>
    <x v="6"/>
    <x v="2"/>
    <x v="4"/>
    <x v="7"/>
    <x v="8"/>
    <x v="6"/>
    <n v="0"/>
    <x v="0"/>
    <x v="3"/>
    <s v="عميل 14"/>
    <x v="57"/>
  </r>
  <r>
    <n v="10755"/>
    <s v="عمر"/>
    <d v="2026-11-15T00:00:00"/>
    <x v="3"/>
    <x v="1"/>
    <x v="6"/>
    <x v="22"/>
    <x v="5"/>
    <x v="3"/>
    <n v="0.03"/>
    <x v="0"/>
    <x v="0"/>
    <s v="عميل 267"/>
    <x v="81"/>
  </r>
  <r>
    <n v="10756"/>
    <s v="كريم"/>
    <d v="2026-09-09T00:00:00"/>
    <x v="4"/>
    <x v="3"/>
    <x v="4"/>
    <x v="20"/>
    <x v="1"/>
    <x v="4"/>
    <n v="0.05"/>
    <x v="2"/>
    <x v="2"/>
    <s v="عميل 277"/>
    <x v="94"/>
  </r>
  <r>
    <n v="10757"/>
    <s v="علي"/>
    <d v="2026-08-19T00:00:00"/>
    <x v="7"/>
    <x v="0"/>
    <x v="1"/>
    <x v="1"/>
    <x v="7"/>
    <x v="7"/>
    <n v="0"/>
    <x v="2"/>
    <x v="3"/>
    <s v="عميل 227"/>
    <x v="125"/>
  </r>
  <r>
    <n v="10758"/>
    <s v="عمر"/>
    <d v="2026-12-28T00:00:00"/>
    <x v="6"/>
    <x v="2"/>
    <x v="1"/>
    <x v="1"/>
    <x v="8"/>
    <x v="6"/>
    <n v="0.1"/>
    <x v="3"/>
    <x v="3"/>
    <s v="عميل 221"/>
    <x v="57"/>
  </r>
  <r>
    <n v="10759"/>
    <s v="محمد"/>
    <d v="2026-10-19T00:00:00"/>
    <x v="3"/>
    <x v="1"/>
    <x v="7"/>
    <x v="19"/>
    <x v="7"/>
    <x v="3"/>
    <n v="7.0000000000000007E-2"/>
    <x v="1"/>
    <x v="3"/>
    <s v="عميل 244"/>
    <x v="73"/>
  </r>
  <r>
    <n v="10760"/>
    <s v="كريم"/>
    <d v="2026-10-30T00:00:00"/>
    <x v="7"/>
    <x v="0"/>
    <x v="5"/>
    <x v="9"/>
    <x v="7"/>
    <x v="7"/>
    <n v="0.05"/>
    <x v="1"/>
    <x v="2"/>
    <s v="عميل 146"/>
    <x v="125"/>
  </r>
  <r>
    <n v="10761"/>
    <s v="يوسف"/>
    <d v="2026-07-07T00:00:00"/>
    <x v="9"/>
    <x v="4"/>
    <x v="1"/>
    <x v="1"/>
    <x v="2"/>
    <x v="9"/>
    <n v="0"/>
    <x v="2"/>
    <x v="0"/>
    <s v="عميل 175"/>
    <x v="14"/>
  </r>
  <r>
    <n v="10762"/>
    <s v="علي"/>
    <d v="2026-06-29T00:00:00"/>
    <x v="2"/>
    <x v="2"/>
    <x v="0"/>
    <x v="26"/>
    <x v="5"/>
    <x v="2"/>
    <n v="0.05"/>
    <x v="0"/>
    <x v="1"/>
    <s v="عميل 127"/>
    <x v="52"/>
  </r>
  <r>
    <n v="10763"/>
    <s v="محمد"/>
    <d v="2026-06-06T00:00:00"/>
    <x v="5"/>
    <x v="4"/>
    <x v="7"/>
    <x v="19"/>
    <x v="3"/>
    <x v="5"/>
    <n v="0.15"/>
    <x v="0"/>
    <x v="2"/>
    <s v="عميل 87"/>
    <x v="82"/>
  </r>
  <r>
    <n v="10764"/>
    <s v="علي"/>
    <d v="2026-10-18T00:00:00"/>
    <x v="1"/>
    <x v="1"/>
    <x v="3"/>
    <x v="4"/>
    <x v="6"/>
    <x v="1"/>
    <n v="0.15"/>
    <x v="1"/>
    <x v="2"/>
    <s v="عميل 11"/>
    <x v="118"/>
  </r>
  <r>
    <n v="10765"/>
    <s v="علي"/>
    <d v="2026-10-20T00:00:00"/>
    <x v="10"/>
    <x v="3"/>
    <x v="4"/>
    <x v="11"/>
    <x v="9"/>
    <x v="10"/>
    <n v="0.05"/>
    <x v="1"/>
    <x v="2"/>
    <s v="عميل 294"/>
    <x v="115"/>
  </r>
  <r>
    <n v="10766"/>
    <s v="كريم"/>
    <d v="2026-09-15T00:00:00"/>
    <x v="13"/>
    <x v="1"/>
    <x v="4"/>
    <x v="7"/>
    <x v="1"/>
    <x v="13"/>
    <n v="0.05"/>
    <x v="2"/>
    <x v="1"/>
    <s v="عميل 154"/>
    <x v="106"/>
  </r>
  <r>
    <n v="10767"/>
    <s v="محمد"/>
    <d v="2026-10-02T00:00:00"/>
    <x v="9"/>
    <x v="4"/>
    <x v="6"/>
    <x v="23"/>
    <x v="6"/>
    <x v="9"/>
    <n v="0.15"/>
    <x v="3"/>
    <x v="2"/>
    <s v="عميل 136"/>
    <x v="20"/>
  </r>
  <r>
    <n v="10768"/>
    <s v="حسن"/>
    <d v="2026-02-17T00:00:00"/>
    <x v="1"/>
    <x v="1"/>
    <x v="7"/>
    <x v="19"/>
    <x v="7"/>
    <x v="1"/>
    <n v="0.03"/>
    <x v="0"/>
    <x v="2"/>
    <s v="عميل 140"/>
    <x v="45"/>
  </r>
  <r>
    <n v="10769"/>
    <s v="محمد"/>
    <d v="2026-11-30T00:00:00"/>
    <x v="13"/>
    <x v="1"/>
    <x v="4"/>
    <x v="20"/>
    <x v="1"/>
    <x v="13"/>
    <n v="0.05"/>
    <x v="2"/>
    <x v="2"/>
    <s v="عميل 222"/>
    <x v="106"/>
  </r>
  <r>
    <n v="10770"/>
    <s v="عمر"/>
    <d v="2026-11-16T00:00:00"/>
    <x v="0"/>
    <x v="0"/>
    <x v="3"/>
    <x v="4"/>
    <x v="7"/>
    <x v="0"/>
    <n v="7.0000000000000007E-2"/>
    <x v="1"/>
    <x v="1"/>
    <s v="عميل 10"/>
    <x v="79"/>
  </r>
  <r>
    <n v="10771"/>
    <s v="كريم"/>
    <d v="2026-05-18T00:00:00"/>
    <x v="0"/>
    <x v="0"/>
    <x v="5"/>
    <x v="8"/>
    <x v="1"/>
    <x v="0"/>
    <n v="0.15"/>
    <x v="1"/>
    <x v="0"/>
    <s v="عميل 268"/>
    <x v="27"/>
  </r>
  <r>
    <n v="10772"/>
    <s v="يوسف"/>
    <d v="2026-12-17T00:00:00"/>
    <x v="5"/>
    <x v="4"/>
    <x v="3"/>
    <x v="17"/>
    <x v="8"/>
    <x v="5"/>
    <n v="0.03"/>
    <x v="2"/>
    <x v="3"/>
    <s v="عميل 211"/>
    <x v="65"/>
  </r>
  <r>
    <n v="10773"/>
    <s v="عمر"/>
    <d v="2026-11-27T00:00:00"/>
    <x v="9"/>
    <x v="4"/>
    <x v="0"/>
    <x v="16"/>
    <x v="7"/>
    <x v="9"/>
    <n v="0.05"/>
    <x v="3"/>
    <x v="2"/>
    <s v="عميل 121"/>
    <x v="12"/>
  </r>
  <r>
    <n v="10774"/>
    <s v="أحمد"/>
    <d v="2026-05-06T00:00:00"/>
    <x v="2"/>
    <x v="2"/>
    <x v="2"/>
    <x v="5"/>
    <x v="8"/>
    <x v="2"/>
    <n v="0.03"/>
    <x v="2"/>
    <x v="3"/>
    <s v="عميل 249"/>
    <x v="10"/>
  </r>
  <r>
    <n v="10775"/>
    <s v="يوسف"/>
    <d v="2026-05-20T00:00:00"/>
    <x v="7"/>
    <x v="0"/>
    <x v="6"/>
    <x v="14"/>
    <x v="9"/>
    <x v="7"/>
    <n v="0.03"/>
    <x v="3"/>
    <x v="0"/>
    <s v="عميل 133"/>
    <x v="31"/>
  </r>
  <r>
    <n v="10776"/>
    <s v="أحمد"/>
    <d v="2026-09-06T00:00:00"/>
    <x v="4"/>
    <x v="3"/>
    <x v="7"/>
    <x v="19"/>
    <x v="4"/>
    <x v="4"/>
    <n v="0.03"/>
    <x v="0"/>
    <x v="0"/>
    <s v="عميل 43"/>
    <x v="4"/>
  </r>
  <r>
    <n v="10777"/>
    <s v="محمد"/>
    <d v="2026-07-23T00:00:00"/>
    <x v="9"/>
    <x v="4"/>
    <x v="7"/>
    <x v="18"/>
    <x v="7"/>
    <x v="9"/>
    <n v="0.05"/>
    <x v="3"/>
    <x v="1"/>
    <s v="عميل 58"/>
    <x v="12"/>
  </r>
  <r>
    <n v="10778"/>
    <s v="مؤمن"/>
    <d v="2026-11-04T00:00:00"/>
    <x v="12"/>
    <x v="0"/>
    <x v="0"/>
    <x v="13"/>
    <x v="6"/>
    <x v="12"/>
    <n v="0"/>
    <x v="0"/>
    <x v="2"/>
    <s v="عميل 169"/>
    <x v="63"/>
  </r>
  <r>
    <n v="10779"/>
    <s v="مؤمن"/>
    <d v="2026-03-15T00:00:00"/>
    <x v="8"/>
    <x v="4"/>
    <x v="6"/>
    <x v="22"/>
    <x v="1"/>
    <x v="8"/>
    <n v="7.0000000000000007E-2"/>
    <x v="0"/>
    <x v="1"/>
    <s v="عميل 110"/>
    <x v="23"/>
  </r>
  <r>
    <n v="10780"/>
    <s v="أحمد"/>
    <d v="2026-09-09T00:00:00"/>
    <x v="14"/>
    <x v="4"/>
    <x v="4"/>
    <x v="20"/>
    <x v="0"/>
    <x v="14"/>
    <n v="0.1"/>
    <x v="2"/>
    <x v="0"/>
    <s v="عميل 163"/>
    <x v="43"/>
  </r>
  <r>
    <n v="10781"/>
    <s v="يوسف"/>
    <d v="2026-07-05T00:00:00"/>
    <x v="7"/>
    <x v="0"/>
    <x v="6"/>
    <x v="14"/>
    <x v="1"/>
    <x v="7"/>
    <n v="0.05"/>
    <x v="1"/>
    <x v="2"/>
    <s v="عميل 158"/>
    <x v="97"/>
  </r>
  <r>
    <n v="10782"/>
    <s v="مصطفى"/>
    <d v="2026-07-16T00:00:00"/>
    <x v="1"/>
    <x v="1"/>
    <x v="1"/>
    <x v="1"/>
    <x v="1"/>
    <x v="1"/>
    <n v="0.05"/>
    <x v="2"/>
    <x v="2"/>
    <s v="عميل 63"/>
    <x v="1"/>
  </r>
  <r>
    <n v="10783"/>
    <s v="علي"/>
    <d v="2026-05-11T00:00:00"/>
    <x v="7"/>
    <x v="0"/>
    <x v="2"/>
    <x v="2"/>
    <x v="7"/>
    <x v="7"/>
    <n v="0"/>
    <x v="2"/>
    <x v="0"/>
    <s v="عميل 121"/>
    <x v="125"/>
  </r>
  <r>
    <n v="10784"/>
    <s v="محمود"/>
    <d v="2026-11-26T00:00:00"/>
    <x v="14"/>
    <x v="4"/>
    <x v="2"/>
    <x v="5"/>
    <x v="6"/>
    <x v="14"/>
    <n v="0.15"/>
    <x v="1"/>
    <x v="0"/>
    <s v="عميل 141"/>
    <x v="65"/>
  </r>
  <r>
    <n v="10785"/>
    <s v="علي"/>
    <d v="2026-06-20T00:00:00"/>
    <x v="8"/>
    <x v="4"/>
    <x v="0"/>
    <x v="26"/>
    <x v="6"/>
    <x v="8"/>
    <n v="0.15"/>
    <x v="1"/>
    <x v="0"/>
    <s v="عميل 83"/>
    <x v="91"/>
  </r>
  <r>
    <n v="10786"/>
    <s v="علي"/>
    <d v="2026-11-05T00:00:00"/>
    <x v="10"/>
    <x v="3"/>
    <x v="7"/>
    <x v="19"/>
    <x v="3"/>
    <x v="10"/>
    <n v="0.05"/>
    <x v="2"/>
    <x v="3"/>
    <s v="عميل 15"/>
    <x v="19"/>
  </r>
  <r>
    <n v="10787"/>
    <s v="يوسف"/>
    <d v="2026-01-02T00:00:00"/>
    <x v="4"/>
    <x v="3"/>
    <x v="1"/>
    <x v="10"/>
    <x v="6"/>
    <x v="4"/>
    <n v="0.15"/>
    <x v="1"/>
    <x v="1"/>
    <s v="عميل 157"/>
    <x v="18"/>
  </r>
  <r>
    <n v="10788"/>
    <s v="مصطفى"/>
    <d v="2026-11-29T00:00:00"/>
    <x v="9"/>
    <x v="4"/>
    <x v="0"/>
    <x v="0"/>
    <x v="8"/>
    <x v="9"/>
    <n v="0.03"/>
    <x v="3"/>
    <x v="3"/>
    <s v="عميل 164"/>
    <x v="86"/>
  </r>
  <r>
    <n v="10789"/>
    <s v="يوسف"/>
    <d v="2026-12-18T00:00:00"/>
    <x v="6"/>
    <x v="2"/>
    <x v="4"/>
    <x v="11"/>
    <x v="8"/>
    <x v="6"/>
    <n v="0.05"/>
    <x v="2"/>
    <x v="2"/>
    <s v="عميل 102"/>
    <x v="57"/>
  </r>
  <r>
    <n v="10790"/>
    <s v="علي"/>
    <d v="2026-10-20T00:00:00"/>
    <x v="13"/>
    <x v="1"/>
    <x v="6"/>
    <x v="14"/>
    <x v="8"/>
    <x v="13"/>
    <n v="7.0000000000000007E-2"/>
    <x v="3"/>
    <x v="0"/>
    <s v="عميل 12"/>
    <x v="71"/>
  </r>
  <r>
    <n v="10791"/>
    <s v="عمر"/>
    <d v="2026-12-26T00:00:00"/>
    <x v="11"/>
    <x v="5"/>
    <x v="2"/>
    <x v="5"/>
    <x v="6"/>
    <x v="11"/>
    <n v="0.03"/>
    <x v="3"/>
    <x v="0"/>
    <s v="عميل 206"/>
    <x v="62"/>
  </r>
  <r>
    <n v="10792"/>
    <s v="محمد"/>
    <d v="2026-07-08T00:00:00"/>
    <x v="12"/>
    <x v="0"/>
    <x v="6"/>
    <x v="22"/>
    <x v="0"/>
    <x v="12"/>
    <n v="0.03"/>
    <x v="3"/>
    <x v="0"/>
    <s v="عميل 8"/>
    <x v="102"/>
  </r>
  <r>
    <n v="10793"/>
    <s v="مؤمن"/>
    <d v="2026-04-15T00:00:00"/>
    <x v="10"/>
    <x v="3"/>
    <x v="6"/>
    <x v="14"/>
    <x v="6"/>
    <x v="10"/>
    <n v="0"/>
    <x v="3"/>
    <x v="2"/>
    <s v="عميل 148"/>
    <x v="109"/>
  </r>
  <r>
    <n v="10794"/>
    <s v="مؤمن"/>
    <d v="2026-11-04T00:00:00"/>
    <x v="10"/>
    <x v="3"/>
    <x v="4"/>
    <x v="20"/>
    <x v="8"/>
    <x v="10"/>
    <n v="7.0000000000000007E-2"/>
    <x v="3"/>
    <x v="2"/>
    <s v="عميل 97"/>
    <x v="98"/>
  </r>
  <r>
    <n v="10795"/>
    <s v="عمر"/>
    <d v="2026-05-15T00:00:00"/>
    <x v="2"/>
    <x v="2"/>
    <x v="5"/>
    <x v="8"/>
    <x v="8"/>
    <x v="2"/>
    <n v="0"/>
    <x v="3"/>
    <x v="3"/>
    <s v="عميل 128"/>
    <x v="10"/>
  </r>
  <r>
    <n v="10796"/>
    <s v="يوسف"/>
    <d v="2026-06-15T00:00:00"/>
    <x v="9"/>
    <x v="4"/>
    <x v="4"/>
    <x v="7"/>
    <x v="9"/>
    <x v="9"/>
    <n v="7.0000000000000007E-2"/>
    <x v="1"/>
    <x v="1"/>
    <s v="عميل 197"/>
    <x v="54"/>
  </r>
  <r>
    <n v="10797"/>
    <s v="محمد"/>
    <d v="2026-02-18T00:00:00"/>
    <x v="10"/>
    <x v="3"/>
    <x v="6"/>
    <x v="22"/>
    <x v="2"/>
    <x v="10"/>
    <n v="0.05"/>
    <x v="0"/>
    <x v="0"/>
    <s v="عميل 171"/>
    <x v="103"/>
  </r>
  <r>
    <n v="10798"/>
    <s v="حسن"/>
    <d v="2026-12-30T00:00:00"/>
    <x v="11"/>
    <x v="5"/>
    <x v="2"/>
    <x v="2"/>
    <x v="5"/>
    <x v="11"/>
    <n v="0.1"/>
    <x v="0"/>
    <x v="0"/>
    <s v="عميل 130"/>
    <x v="77"/>
  </r>
  <r>
    <n v="10799"/>
    <s v="محمود"/>
    <d v="2026-03-09T00:00:00"/>
    <x v="7"/>
    <x v="0"/>
    <x v="6"/>
    <x v="14"/>
    <x v="7"/>
    <x v="7"/>
    <n v="0.15"/>
    <x v="0"/>
    <x v="1"/>
    <s v="عميل 134"/>
    <x v="125"/>
  </r>
  <r>
    <n v="10800"/>
    <s v="محمد"/>
    <d v="2026-06-12T00:00:00"/>
    <x v="3"/>
    <x v="1"/>
    <x v="4"/>
    <x v="20"/>
    <x v="6"/>
    <x v="3"/>
    <n v="0.03"/>
    <x v="1"/>
    <x v="1"/>
    <s v="عميل 134"/>
    <x v="122"/>
  </r>
  <r>
    <n v="10801"/>
    <s v="عمر"/>
    <d v="2026-07-04T00:00:00"/>
    <x v="13"/>
    <x v="1"/>
    <x v="3"/>
    <x v="4"/>
    <x v="8"/>
    <x v="13"/>
    <n v="7.0000000000000007E-2"/>
    <x v="1"/>
    <x v="2"/>
    <s v="عميل 135"/>
    <x v="71"/>
  </r>
  <r>
    <n v="10802"/>
    <s v="يوسف"/>
    <d v="2026-06-11T00:00:00"/>
    <x v="12"/>
    <x v="0"/>
    <x v="7"/>
    <x v="19"/>
    <x v="5"/>
    <x v="12"/>
    <n v="7.0000000000000007E-2"/>
    <x v="1"/>
    <x v="1"/>
    <s v="عميل 285"/>
    <x v="61"/>
  </r>
  <r>
    <n v="10803"/>
    <s v="أحمد"/>
    <d v="2026-04-28T00:00:00"/>
    <x v="8"/>
    <x v="4"/>
    <x v="4"/>
    <x v="7"/>
    <x v="1"/>
    <x v="8"/>
    <n v="0.03"/>
    <x v="3"/>
    <x v="0"/>
    <s v="عميل 241"/>
    <x v="23"/>
  </r>
  <r>
    <n v="10804"/>
    <s v="كريم"/>
    <d v="2026-01-21T00:00:00"/>
    <x v="14"/>
    <x v="4"/>
    <x v="5"/>
    <x v="8"/>
    <x v="7"/>
    <x v="14"/>
    <n v="0"/>
    <x v="1"/>
    <x v="2"/>
    <s v="عميل 288"/>
    <x v="84"/>
  </r>
  <r>
    <n v="10805"/>
    <s v="يوسف"/>
    <d v="2026-03-05T00:00:00"/>
    <x v="6"/>
    <x v="2"/>
    <x v="4"/>
    <x v="20"/>
    <x v="3"/>
    <x v="6"/>
    <n v="0.15"/>
    <x v="2"/>
    <x v="0"/>
    <s v="عميل 105"/>
    <x v="14"/>
  </r>
  <r>
    <n v="10806"/>
    <s v="مصطفى"/>
    <d v="2026-05-20T00:00:00"/>
    <x v="8"/>
    <x v="4"/>
    <x v="7"/>
    <x v="18"/>
    <x v="8"/>
    <x v="8"/>
    <n v="0.15"/>
    <x v="3"/>
    <x v="0"/>
    <s v="عميل 270"/>
    <x v="95"/>
  </r>
  <r>
    <n v="10807"/>
    <s v="كريم"/>
    <d v="2026-12-13T00:00:00"/>
    <x v="4"/>
    <x v="3"/>
    <x v="5"/>
    <x v="8"/>
    <x v="3"/>
    <x v="4"/>
    <n v="0.03"/>
    <x v="0"/>
    <x v="2"/>
    <s v="عميل 14"/>
    <x v="123"/>
  </r>
  <r>
    <n v="10808"/>
    <s v="محمد"/>
    <d v="2026-06-15T00:00:00"/>
    <x v="14"/>
    <x v="4"/>
    <x v="0"/>
    <x v="26"/>
    <x v="5"/>
    <x v="14"/>
    <n v="0.1"/>
    <x v="3"/>
    <x v="0"/>
    <s v="عميل 42"/>
    <x v="34"/>
  </r>
  <r>
    <n v="10809"/>
    <s v="أحمد"/>
    <d v="2026-06-18T00:00:00"/>
    <x v="6"/>
    <x v="2"/>
    <x v="4"/>
    <x v="20"/>
    <x v="0"/>
    <x v="6"/>
    <n v="0.1"/>
    <x v="0"/>
    <x v="3"/>
    <s v="عميل 167"/>
    <x v="52"/>
  </r>
  <r>
    <n v="10810"/>
    <s v="عمر"/>
    <d v="2026-06-15T00:00:00"/>
    <x v="10"/>
    <x v="3"/>
    <x v="5"/>
    <x v="25"/>
    <x v="9"/>
    <x v="10"/>
    <n v="0.15"/>
    <x v="0"/>
    <x v="0"/>
    <s v="عميل 281"/>
    <x v="115"/>
  </r>
  <r>
    <n v="10811"/>
    <s v="يوسف"/>
    <d v="2026-05-03T00:00:00"/>
    <x v="12"/>
    <x v="0"/>
    <x v="6"/>
    <x v="23"/>
    <x v="7"/>
    <x v="12"/>
    <n v="0.05"/>
    <x v="1"/>
    <x v="0"/>
    <s v="عميل 11"/>
    <x v="26"/>
  </r>
  <r>
    <n v="10812"/>
    <s v="عمر"/>
    <d v="2026-11-28T00:00:00"/>
    <x v="8"/>
    <x v="4"/>
    <x v="2"/>
    <x v="5"/>
    <x v="7"/>
    <x v="8"/>
    <n v="7.0000000000000007E-2"/>
    <x v="3"/>
    <x v="0"/>
    <s v="عميل 153"/>
    <x v="78"/>
  </r>
  <r>
    <n v="10813"/>
    <s v="حسن"/>
    <d v="2026-03-09T00:00:00"/>
    <x v="6"/>
    <x v="2"/>
    <x v="6"/>
    <x v="22"/>
    <x v="0"/>
    <x v="6"/>
    <n v="0.15"/>
    <x v="2"/>
    <x v="0"/>
    <s v="عميل 189"/>
    <x v="52"/>
  </r>
  <r>
    <n v="10814"/>
    <s v="كريم"/>
    <d v="2026-05-18T00:00:00"/>
    <x v="7"/>
    <x v="0"/>
    <x v="2"/>
    <x v="2"/>
    <x v="6"/>
    <x v="7"/>
    <n v="7.0000000000000007E-2"/>
    <x v="1"/>
    <x v="0"/>
    <s v="عميل 217"/>
    <x v="7"/>
  </r>
  <r>
    <n v="10815"/>
    <s v="علي"/>
    <d v="2026-02-17T00:00:00"/>
    <x v="4"/>
    <x v="3"/>
    <x v="3"/>
    <x v="24"/>
    <x v="8"/>
    <x v="4"/>
    <n v="7.0000000000000007E-2"/>
    <x v="0"/>
    <x v="2"/>
    <s v="عميل 238"/>
    <x v="32"/>
  </r>
  <r>
    <n v="10816"/>
    <s v="مصطفى"/>
    <d v="2026-11-19T00:00:00"/>
    <x v="0"/>
    <x v="0"/>
    <x v="2"/>
    <x v="12"/>
    <x v="8"/>
    <x v="0"/>
    <n v="7.0000000000000007E-2"/>
    <x v="0"/>
    <x v="2"/>
    <s v="عميل 240"/>
    <x v="16"/>
  </r>
  <r>
    <n v="10817"/>
    <s v="يوسف"/>
    <d v="2026-12-17T00:00:00"/>
    <x v="2"/>
    <x v="2"/>
    <x v="0"/>
    <x v="26"/>
    <x v="0"/>
    <x v="2"/>
    <n v="0.03"/>
    <x v="2"/>
    <x v="1"/>
    <s v="عميل 268"/>
    <x v="9"/>
  </r>
  <r>
    <n v="10818"/>
    <s v="محمد"/>
    <d v="2026-01-24T00:00:00"/>
    <x v="2"/>
    <x v="2"/>
    <x v="7"/>
    <x v="19"/>
    <x v="9"/>
    <x v="2"/>
    <n v="0.1"/>
    <x v="0"/>
    <x v="3"/>
    <s v="عميل 212"/>
    <x v="41"/>
  </r>
  <r>
    <n v="10819"/>
    <s v="محمود"/>
    <d v="2026-05-11T00:00:00"/>
    <x v="13"/>
    <x v="1"/>
    <x v="4"/>
    <x v="11"/>
    <x v="2"/>
    <x v="13"/>
    <n v="0.05"/>
    <x v="0"/>
    <x v="0"/>
    <s v="عميل 59"/>
    <x v="48"/>
  </r>
  <r>
    <n v="10820"/>
    <s v="أحمد"/>
    <d v="2026-02-12T00:00:00"/>
    <x v="10"/>
    <x v="3"/>
    <x v="4"/>
    <x v="7"/>
    <x v="8"/>
    <x v="10"/>
    <n v="7.0000000000000007E-2"/>
    <x v="1"/>
    <x v="2"/>
    <s v="عميل 161"/>
    <x v="98"/>
  </r>
  <r>
    <n v="10821"/>
    <s v="عمر"/>
    <d v="2026-06-24T00:00:00"/>
    <x v="12"/>
    <x v="0"/>
    <x v="4"/>
    <x v="11"/>
    <x v="6"/>
    <x v="12"/>
    <n v="0.1"/>
    <x v="3"/>
    <x v="1"/>
    <s v="عميل 95"/>
    <x v="63"/>
  </r>
  <r>
    <n v="10822"/>
    <s v="مصطفى"/>
    <d v="2026-01-10T00:00:00"/>
    <x v="13"/>
    <x v="1"/>
    <x v="7"/>
    <x v="19"/>
    <x v="3"/>
    <x v="13"/>
    <n v="7.0000000000000007E-2"/>
    <x v="0"/>
    <x v="3"/>
    <s v="عميل 60"/>
    <x v="96"/>
  </r>
  <r>
    <n v="10823"/>
    <s v="علي"/>
    <d v="2026-12-03T00:00:00"/>
    <x v="1"/>
    <x v="1"/>
    <x v="5"/>
    <x v="8"/>
    <x v="6"/>
    <x v="1"/>
    <n v="0.15"/>
    <x v="1"/>
    <x v="2"/>
    <s v="عميل 185"/>
    <x v="118"/>
  </r>
  <r>
    <n v="10824"/>
    <s v="يوسف"/>
    <d v="2026-01-08T00:00:00"/>
    <x v="10"/>
    <x v="3"/>
    <x v="6"/>
    <x v="14"/>
    <x v="3"/>
    <x v="10"/>
    <n v="0.03"/>
    <x v="3"/>
    <x v="0"/>
    <s v="عميل 9"/>
    <x v="19"/>
  </r>
  <r>
    <n v="10825"/>
    <s v="يوسف"/>
    <d v="2026-11-29T00:00:00"/>
    <x v="10"/>
    <x v="3"/>
    <x v="2"/>
    <x v="5"/>
    <x v="1"/>
    <x v="10"/>
    <n v="7.0000000000000007E-2"/>
    <x v="3"/>
    <x v="3"/>
    <s v="عميل 276"/>
    <x v="21"/>
  </r>
  <r>
    <n v="10826"/>
    <s v="كريم"/>
    <d v="2026-08-05T00:00:00"/>
    <x v="5"/>
    <x v="4"/>
    <x v="0"/>
    <x v="13"/>
    <x v="6"/>
    <x v="5"/>
    <n v="0.03"/>
    <x v="0"/>
    <x v="0"/>
    <s v="عميل 86"/>
    <x v="56"/>
  </r>
  <r>
    <n v="10827"/>
    <s v="أحمد"/>
    <d v="2026-08-19T00:00:00"/>
    <x v="11"/>
    <x v="5"/>
    <x v="5"/>
    <x v="8"/>
    <x v="6"/>
    <x v="11"/>
    <n v="7.0000000000000007E-2"/>
    <x v="3"/>
    <x v="1"/>
    <s v="عميل 151"/>
    <x v="62"/>
  </r>
  <r>
    <n v="10828"/>
    <s v="محمد"/>
    <d v="2026-11-19T00:00:00"/>
    <x v="12"/>
    <x v="0"/>
    <x v="6"/>
    <x v="23"/>
    <x v="5"/>
    <x v="12"/>
    <n v="0"/>
    <x v="1"/>
    <x v="3"/>
    <s v="عميل 254"/>
    <x v="61"/>
  </r>
  <r>
    <n v="10829"/>
    <s v="كريم"/>
    <d v="2026-09-20T00:00:00"/>
    <x v="10"/>
    <x v="3"/>
    <x v="7"/>
    <x v="18"/>
    <x v="6"/>
    <x v="10"/>
    <n v="7.0000000000000007E-2"/>
    <x v="1"/>
    <x v="1"/>
    <s v="عميل 32"/>
    <x v="109"/>
  </r>
  <r>
    <n v="10830"/>
    <s v="مصطفى"/>
    <d v="2026-02-02T00:00:00"/>
    <x v="7"/>
    <x v="0"/>
    <x v="1"/>
    <x v="3"/>
    <x v="2"/>
    <x v="7"/>
    <n v="0.05"/>
    <x v="2"/>
    <x v="3"/>
    <s v="عميل 243"/>
    <x v="46"/>
  </r>
  <r>
    <n v="10831"/>
    <s v="علي"/>
    <d v="2026-01-11T00:00:00"/>
    <x v="13"/>
    <x v="1"/>
    <x v="4"/>
    <x v="11"/>
    <x v="5"/>
    <x v="13"/>
    <n v="7.0000000000000007E-2"/>
    <x v="3"/>
    <x v="2"/>
    <s v="عميل 99"/>
    <x v="33"/>
  </r>
  <r>
    <n v="10832"/>
    <s v="مؤمن"/>
    <d v="2026-10-28T00:00:00"/>
    <x v="6"/>
    <x v="2"/>
    <x v="3"/>
    <x v="17"/>
    <x v="1"/>
    <x v="6"/>
    <n v="0.1"/>
    <x v="2"/>
    <x v="3"/>
    <s v="عميل 68"/>
    <x v="39"/>
  </r>
  <r>
    <n v="10833"/>
    <s v="محمود"/>
    <d v="2026-08-30T00:00:00"/>
    <x v="11"/>
    <x v="5"/>
    <x v="7"/>
    <x v="19"/>
    <x v="7"/>
    <x v="11"/>
    <n v="7.0000000000000007E-2"/>
    <x v="3"/>
    <x v="1"/>
    <s v="عميل 145"/>
    <x v="24"/>
  </r>
  <r>
    <n v="10834"/>
    <s v="مؤمن"/>
    <d v="2026-03-22T00:00:00"/>
    <x v="10"/>
    <x v="3"/>
    <x v="0"/>
    <x v="26"/>
    <x v="8"/>
    <x v="10"/>
    <n v="0.03"/>
    <x v="1"/>
    <x v="0"/>
    <s v="عميل 213"/>
    <x v="98"/>
  </r>
  <r>
    <n v="10835"/>
    <s v="أحمد"/>
    <d v="2026-01-10T00:00:00"/>
    <x v="6"/>
    <x v="2"/>
    <x v="7"/>
    <x v="18"/>
    <x v="1"/>
    <x v="6"/>
    <n v="0.1"/>
    <x v="2"/>
    <x v="2"/>
    <s v="عميل 183"/>
    <x v="39"/>
  </r>
  <r>
    <n v="10836"/>
    <s v="محمد"/>
    <d v="2026-06-22T00:00:00"/>
    <x v="0"/>
    <x v="0"/>
    <x v="5"/>
    <x v="25"/>
    <x v="4"/>
    <x v="0"/>
    <n v="0"/>
    <x v="1"/>
    <x v="0"/>
    <s v="عميل 117"/>
    <x v="100"/>
  </r>
  <r>
    <n v="10837"/>
    <s v="محمود"/>
    <d v="2026-01-24T00:00:00"/>
    <x v="13"/>
    <x v="1"/>
    <x v="2"/>
    <x v="2"/>
    <x v="0"/>
    <x v="13"/>
    <n v="0.05"/>
    <x v="2"/>
    <x v="1"/>
    <s v="عميل 264"/>
    <x v="30"/>
  </r>
  <r>
    <n v="10838"/>
    <s v="محمد"/>
    <d v="2026-02-24T00:00:00"/>
    <x v="12"/>
    <x v="0"/>
    <x v="0"/>
    <x v="0"/>
    <x v="6"/>
    <x v="12"/>
    <n v="7.0000000000000007E-2"/>
    <x v="0"/>
    <x v="0"/>
    <s v="عميل 260"/>
    <x v="63"/>
  </r>
  <r>
    <n v="10839"/>
    <s v="يوسف"/>
    <d v="2026-05-30T00:00:00"/>
    <x v="13"/>
    <x v="1"/>
    <x v="5"/>
    <x v="9"/>
    <x v="1"/>
    <x v="13"/>
    <n v="0.05"/>
    <x v="1"/>
    <x v="3"/>
    <s v="عميل 51"/>
    <x v="106"/>
  </r>
  <r>
    <n v="10840"/>
    <s v="مؤمن"/>
    <d v="2026-08-13T00:00:00"/>
    <x v="3"/>
    <x v="1"/>
    <x v="3"/>
    <x v="17"/>
    <x v="8"/>
    <x v="3"/>
    <n v="0"/>
    <x v="1"/>
    <x v="0"/>
    <s v="عميل 126"/>
    <x v="44"/>
  </r>
  <r>
    <n v="10841"/>
    <s v="يوسف"/>
    <d v="2026-02-13T00:00:00"/>
    <x v="8"/>
    <x v="4"/>
    <x v="4"/>
    <x v="20"/>
    <x v="0"/>
    <x v="8"/>
    <n v="0.1"/>
    <x v="2"/>
    <x v="2"/>
    <s v="عميل 213"/>
    <x v="50"/>
  </r>
  <r>
    <n v="10842"/>
    <s v="مؤمن"/>
    <d v="2026-03-12T00:00:00"/>
    <x v="9"/>
    <x v="4"/>
    <x v="2"/>
    <x v="5"/>
    <x v="4"/>
    <x v="9"/>
    <n v="7.0000000000000007E-2"/>
    <x v="1"/>
    <x v="3"/>
    <s v="عميل 210"/>
    <x v="53"/>
  </r>
  <r>
    <n v="10843"/>
    <s v="كريم"/>
    <d v="2026-03-16T00:00:00"/>
    <x v="11"/>
    <x v="5"/>
    <x v="4"/>
    <x v="11"/>
    <x v="5"/>
    <x v="11"/>
    <n v="0"/>
    <x v="0"/>
    <x v="0"/>
    <s v="عميل 44"/>
    <x v="77"/>
  </r>
  <r>
    <n v="10844"/>
    <s v="أحمد"/>
    <d v="2026-07-21T00:00:00"/>
    <x v="9"/>
    <x v="4"/>
    <x v="3"/>
    <x v="17"/>
    <x v="8"/>
    <x v="9"/>
    <n v="7.0000000000000007E-2"/>
    <x v="0"/>
    <x v="1"/>
    <s v="عميل 295"/>
    <x v="86"/>
  </r>
  <r>
    <n v="10845"/>
    <s v="مصطفى"/>
    <d v="2026-06-05T00:00:00"/>
    <x v="1"/>
    <x v="1"/>
    <x v="7"/>
    <x v="15"/>
    <x v="7"/>
    <x v="1"/>
    <n v="0.15"/>
    <x v="2"/>
    <x v="2"/>
    <s v="عميل 5"/>
    <x v="45"/>
  </r>
  <r>
    <n v="10846"/>
    <s v="علي"/>
    <d v="2026-08-17T00:00:00"/>
    <x v="8"/>
    <x v="4"/>
    <x v="7"/>
    <x v="19"/>
    <x v="2"/>
    <x v="8"/>
    <n v="0.03"/>
    <x v="3"/>
    <x v="3"/>
    <s v="عميل 177"/>
    <x v="99"/>
  </r>
  <r>
    <n v="10847"/>
    <s v="أحمد"/>
    <d v="2026-10-03T00:00:00"/>
    <x v="11"/>
    <x v="5"/>
    <x v="6"/>
    <x v="23"/>
    <x v="0"/>
    <x v="11"/>
    <n v="0"/>
    <x v="2"/>
    <x v="3"/>
    <s v="عميل 65"/>
    <x v="67"/>
  </r>
  <r>
    <n v="10848"/>
    <s v="مصطفى"/>
    <d v="2026-06-09T00:00:00"/>
    <x v="7"/>
    <x v="0"/>
    <x v="7"/>
    <x v="18"/>
    <x v="3"/>
    <x v="7"/>
    <n v="0.1"/>
    <x v="2"/>
    <x v="1"/>
    <s v="عميل 12"/>
    <x v="51"/>
  </r>
  <r>
    <n v="10849"/>
    <s v="علي"/>
    <d v="2026-09-16T00:00:00"/>
    <x v="1"/>
    <x v="1"/>
    <x v="7"/>
    <x v="18"/>
    <x v="0"/>
    <x v="1"/>
    <n v="0.15"/>
    <x v="0"/>
    <x v="0"/>
    <s v="عميل 191"/>
    <x v="72"/>
  </r>
  <r>
    <n v="10850"/>
    <s v="محمد"/>
    <d v="2026-08-18T00:00:00"/>
    <x v="14"/>
    <x v="4"/>
    <x v="3"/>
    <x v="4"/>
    <x v="9"/>
    <x v="14"/>
    <n v="0.15"/>
    <x v="2"/>
    <x v="0"/>
    <s v="عميل 233"/>
    <x v="32"/>
  </r>
  <r>
    <n v="10851"/>
    <s v="مصطفى"/>
    <d v="2026-11-01T00:00:00"/>
    <x v="9"/>
    <x v="4"/>
    <x v="2"/>
    <x v="12"/>
    <x v="2"/>
    <x v="9"/>
    <n v="0.1"/>
    <x v="3"/>
    <x v="2"/>
    <s v="عميل 154"/>
    <x v="14"/>
  </r>
  <r>
    <n v="10852"/>
    <s v="مؤمن"/>
    <d v="2026-02-23T00:00:00"/>
    <x v="14"/>
    <x v="4"/>
    <x v="5"/>
    <x v="8"/>
    <x v="4"/>
    <x v="14"/>
    <n v="0.15"/>
    <x v="2"/>
    <x v="1"/>
    <s v="عميل 185"/>
    <x v="92"/>
  </r>
  <r>
    <n v="10853"/>
    <s v="محمد"/>
    <d v="2026-02-17T00:00:00"/>
    <x v="6"/>
    <x v="2"/>
    <x v="0"/>
    <x v="16"/>
    <x v="7"/>
    <x v="6"/>
    <n v="7.0000000000000007E-2"/>
    <x v="0"/>
    <x v="3"/>
    <s v="عميل 67"/>
    <x v="60"/>
  </r>
  <r>
    <n v="10854"/>
    <s v="مصطفى"/>
    <d v="2026-07-26T00:00:00"/>
    <x v="6"/>
    <x v="2"/>
    <x v="2"/>
    <x v="2"/>
    <x v="3"/>
    <x v="6"/>
    <n v="0.05"/>
    <x v="1"/>
    <x v="2"/>
    <s v="عميل 300"/>
    <x v="14"/>
  </r>
  <r>
    <n v="10855"/>
    <s v="علي"/>
    <d v="2026-03-25T00:00:00"/>
    <x v="6"/>
    <x v="2"/>
    <x v="6"/>
    <x v="14"/>
    <x v="6"/>
    <x v="6"/>
    <n v="0.15"/>
    <x v="3"/>
    <x v="1"/>
    <s v="عميل 249"/>
    <x v="47"/>
  </r>
  <r>
    <n v="10856"/>
    <s v="محمد"/>
    <d v="2026-12-22T00:00:00"/>
    <x v="10"/>
    <x v="3"/>
    <x v="4"/>
    <x v="7"/>
    <x v="4"/>
    <x v="10"/>
    <n v="0.1"/>
    <x v="3"/>
    <x v="3"/>
    <s v="عميل 243"/>
    <x v="37"/>
  </r>
  <r>
    <n v="10857"/>
    <s v="علي"/>
    <d v="2026-02-26T00:00:00"/>
    <x v="1"/>
    <x v="1"/>
    <x v="5"/>
    <x v="21"/>
    <x v="3"/>
    <x v="1"/>
    <n v="0.1"/>
    <x v="0"/>
    <x v="2"/>
    <s v="عميل 293"/>
    <x v="120"/>
  </r>
  <r>
    <n v="10858"/>
    <s v="عمر"/>
    <d v="2026-07-11T00:00:00"/>
    <x v="14"/>
    <x v="4"/>
    <x v="1"/>
    <x v="10"/>
    <x v="3"/>
    <x v="14"/>
    <n v="0.05"/>
    <x v="2"/>
    <x v="2"/>
    <s v="عميل 249"/>
    <x v="66"/>
  </r>
  <r>
    <n v="10859"/>
    <s v="أحمد"/>
    <d v="2026-06-06T00:00:00"/>
    <x v="1"/>
    <x v="1"/>
    <x v="5"/>
    <x v="25"/>
    <x v="2"/>
    <x v="1"/>
    <n v="7.0000000000000007E-2"/>
    <x v="2"/>
    <x v="1"/>
    <s v="عميل 94"/>
    <x v="40"/>
  </r>
  <r>
    <n v="10860"/>
    <s v="محمود"/>
    <d v="2026-02-04T00:00:00"/>
    <x v="8"/>
    <x v="4"/>
    <x v="4"/>
    <x v="7"/>
    <x v="3"/>
    <x v="8"/>
    <n v="0.1"/>
    <x v="0"/>
    <x v="3"/>
    <s v="عميل 247"/>
    <x v="108"/>
  </r>
  <r>
    <n v="10861"/>
    <s v="علي"/>
    <d v="2026-09-01T00:00:00"/>
    <x v="12"/>
    <x v="0"/>
    <x v="7"/>
    <x v="19"/>
    <x v="6"/>
    <x v="12"/>
    <n v="0.05"/>
    <x v="3"/>
    <x v="1"/>
    <s v="عميل 259"/>
    <x v="63"/>
  </r>
  <r>
    <n v="10862"/>
    <s v="محمود"/>
    <d v="2026-02-15T00:00:00"/>
    <x v="0"/>
    <x v="0"/>
    <x v="4"/>
    <x v="20"/>
    <x v="6"/>
    <x v="0"/>
    <n v="0.03"/>
    <x v="1"/>
    <x v="3"/>
    <s v="عميل 120"/>
    <x v="111"/>
  </r>
  <r>
    <n v="10863"/>
    <s v="كريم"/>
    <d v="2026-05-23T00:00:00"/>
    <x v="11"/>
    <x v="5"/>
    <x v="6"/>
    <x v="14"/>
    <x v="4"/>
    <x v="11"/>
    <n v="0"/>
    <x v="0"/>
    <x v="1"/>
    <s v="عميل 13"/>
    <x v="126"/>
  </r>
  <r>
    <n v="10864"/>
    <s v="مصطفى"/>
    <d v="2026-02-13T00:00:00"/>
    <x v="12"/>
    <x v="0"/>
    <x v="7"/>
    <x v="19"/>
    <x v="3"/>
    <x v="12"/>
    <n v="0.15"/>
    <x v="3"/>
    <x v="0"/>
    <s v="عميل 292"/>
    <x v="38"/>
  </r>
  <r>
    <n v="10865"/>
    <s v="محمد"/>
    <d v="2026-12-04T00:00:00"/>
    <x v="7"/>
    <x v="0"/>
    <x v="2"/>
    <x v="2"/>
    <x v="4"/>
    <x v="7"/>
    <n v="0"/>
    <x v="3"/>
    <x v="0"/>
    <s v="عميل 141"/>
    <x v="85"/>
  </r>
  <r>
    <n v="10866"/>
    <s v="محمد"/>
    <d v="2026-10-01T00:00:00"/>
    <x v="4"/>
    <x v="3"/>
    <x v="2"/>
    <x v="5"/>
    <x v="2"/>
    <x v="4"/>
    <n v="7.0000000000000007E-2"/>
    <x v="2"/>
    <x v="3"/>
    <s v="عميل 24"/>
    <x v="116"/>
  </r>
  <r>
    <n v="10867"/>
    <s v="علي"/>
    <d v="2026-01-13T00:00:00"/>
    <x v="6"/>
    <x v="2"/>
    <x v="1"/>
    <x v="6"/>
    <x v="7"/>
    <x v="6"/>
    <n v="0.03"/>
    <x v="2"/>
    <x v="3"/>
    <s v="عميل 132"/>
    <x v="60"/>
  </r>
  <r>
    <n v="10868"/>
    <s v="عمر"/>
    <d v="2026-03-15T00:00:00"/>
    <x v="13"/>
    <x v="1"/>
    <x v="0"/>
    <x v="0"/>
    <x v="4"/>
    <x v="13"/>
    <n v="0.03"/>
    <x v="3"/>
    <x v="2"/>
    <s v="عميل 46"/>
    <x v="117"/>
  </r>
  <r>
    <n v="10869"/>
    <s v="حسن"/>
    <d v="2026-06-16T00:00:00"/>
    <x v="3"/>
    <x v="1"/>
    <x v="7"/>
    <x v="15"/>
    <x v="8"/>
    <x v="3"/>
    <n v="0"/>
    <x v="3"/>
    <x v="0"/>
    <s v="عميل 30"/>
    <x v="44"/>
  </r>
  <r>
    <n v="10870"/>
    <s v="علي"/>
    <d v="2026-06-15T00:00:00"/>
    <x v="14"/>
    <x v="4"/>
    <x v="6"/>
    <x v="23"/>
    <x v="5"/>
    <x v="14"/>
    <n v="0.03"/>
    <x v="2"/>
    <x v="3"/>
    <s v="عميل 62"/>
    <x v="34"/>
  </r>
  <r>
    <n v="10871"/>
    <s v="مؤمن"/>
    <d v="2026-09-10T00:00:00"/>
    <x v="1"/>
    <x v="1"/>
    <x v="2"/>
    <x v="5"/>
    <x v="2"/>
    <x v="1"/>
    <n v="0.1"/>
    <x v="1"/>
    <x v="0"/>
    <s v="عميل 138"/>
    <x v="40"/>
  </r>
  <r>
    <n v="10872"/>
    <s v="محمد"/>
    <d v="2026-09-05T00:00:00"/>
    <x v="1"/>
    <x v="1"/>
    <x v="3"/>
    <x v="17"/>
    <x v="4"/>
    <x v="1"/>
    <n v="7.0000000000000007E-2"/>
    <x v="0"/>
    <x v="3"/>
    <s v="عميل 120"/>
    <x v="25"/>
  </r>
  <r>
    <n v="10873"/>
    <s v="محمد"/>
    <d v="2026-05-07T00:00:00"/>
    <x v="11"/>
    <x v="5"/>
    <x v="1"/>
    <x v="6"/>
    <x v="4"/>
    <x v="11"/>
    <n v="0.1"/>
    <x v="3"/>
    <x v="2"/>
    <s v="عميل 291"/>
    <x v="126"/>
  </r>
  <r>
    <n v="10874"/>
    <s v="يوسف"/>
    <d v="2026-07-11T00:00:00"/>
    <x v="2"/>
    <x v="2"/>
    <x v="4"/>
    <x v="7"/>
    <x v="4"/>
    <x v="2"/>
    <n v="0.03"/>
    <x v="3"/>
    <x v="1"/>
    <s v="عميل 276"/>
    <x v="90"/>
  </r>
  <r>
    <n v="10875"/>
    <s v="حسن"/>
    <d v="2026-05-29T00:00:00"/>
    <x v="2"/>
    <x v="2"/>
    <x v="4"/>
    <x v="7"/>
    <x v="9"/>
    <x v="2"/>
    <n v="7.0000000000000007E-2"/>
    <x v="3"/>
    <x v="0"/>
    <s v="عميل 31"/>
    <x v="41"/>
  </r>
  <r>
    <n v="10876"/>
    <s v="علي"/>
    <d v="2026-06-29T00:00:00"/>
    <x v="11"/>
    <x v="5"/>
    <x v="4"/>
    <x v="20"/>
    <x v="2"/>
    <x v="11"/>
    <n v="0.05"/>
    <x v="3"/>
    <x v="2"/>
    <s v="عميل 24"/>
    <x v="124"/>
  </r>
  <r>
    <n v="10877"/>
    <s v="محمد"/>
    <d v="2026-03-13T00:00:00"/>
    <x v="3"/>
    <x v="1"/>
    <x v="0"/>
    <x v="13"/>
    <x v="3"/>
    <x v="3"/>
    <n v="7.0000000000000007E-2"/>
    <x v="2"/>
    <x v="3"/>
    <s v="عميل 108"/>
    <x v="3"/>
  </r>
  <r>
    <n v="10878"/>
    <s v="عمر"/>
    <d v="2026-12-29T00:00:00"/>
    <x v="12"/>
    <x v="0"/>
    <x v="3"/>
    <x v="24"/>
    <x v="5"/>
    <x v="12"/>
    <n v="0.15"/>
    <x v="1"/>
    <x v="2"/>
    <s v="عميل 126"/>
    <x v="61"/>
  </r>
  <r>
    <n v="10879"/>
    <s v="حسن"/>
    <d v="2026-06-18T00:00:00"/>
    <x v="0"/>
    <x v="0"/>
    <x v="3"/>
    <x v="17"/>
    <x v="1"/>
    <x v="0"/>
    <n v="7.0000000000000007E-2"/>
    <x v="0"/>
    <x v="1"/>
    <s v="عميل 2"/>
    <x v="27"/>
  </r>
  <r>
    <n v="10880"/>
    <s v="يوسف"/>
    <d v="2026-07-31T00:00:00"/>
    <x v="12"/>
    <x v="0"/>
    <x v="4"/>
    <x v="7"/>
    <x v="9"/>
    <x v="12"/>
    <n v="0.15"/>
    <x v="1"/>
    <x v="3"/>
    <s v="عميل 276"/>
    <x v="111"/>
  </r>
  <r>
    <n v="10881"/>
    <s v="محمد"/>
    <d v="2026-06-30T00:00:00"/>
    <x v="13"/>
    <x v="1"/>
    <x v="0"/>
    <x v="0"/>
    <x v="6"/>
    <x v="13"/>
    <n v="0.15"/>
    <x v="1"/>
    <x v="2"/>
    <s v="عميل 199"/>
    <x v="73"/>
  </r>
  <r>
    <n v="10882"/>
    <s v="مؤمن"/>
    <d v="2026-08-16T00:00:00"/>
    <x v="3"/>
    <x v="1"/>
    <x v="1"/>
    <x v="1"/>
    <x v="6"/>
    <x v="3"/>
    <n v="0.05"/>
    <x v="0"/>
    <x v="1"/>
    <s v="عميل 11"/>
    <x v="122"/>
  </r>
  <r>
    <n v="10883"/>
    <s v="محمد"/>
    <d v="2026-11-11T00:00:00"/>
    <x v="4"/>
    <x v="3"/>
    <x v="7"/>
    <x v="19"/>
    <x v="5"/>
    <x v="4"/>
    <n v="0.03"/>
    <x v="2"/>
    <x v="1"/>
    <s v="عميل 120"/>
    <x v="66"/>
  </r>
  <r>
    <n v="10884"/>
    <s v="حسن"/>
    <d v="2026-04-18T00:00:00"/>
    <x v="6"/>
    <x v="2"/>
    <x v="3"/>
    <x v="4"/>
    <x v="0"/>
    <x v="6"/>
    <n v="7.0000000000000007E-2"/>
    <x v="0"/>
    <x v="1"/>
    <s v="عميل 203"/>
    <x v="52"/>
  </r>
  <r>
    <n v="10885"/>
    <s v="يوسف"/>
    <d v="2026-10-10T00:00:00"/>
    <x v="13"/>
    <x v="1"/>
    <x v="7"/>
    <x v="19"/>
    <x v="4"/>
    <x v="13"/>
    <n v="7.0000000000000007E-2"/>
    <x v="3"/>
    <x v="1"/>
    <s v="عميل 34"/>
    <x v="117"/>
  </r>
  <r>
    <n v="10886"/>
    <s v="حسن"/>
    <d v="2026-04-27T00:00:00"/>
    <x v="12"/>
    <x v="0"/>
    <x v="5"/>
    <x v="9"/>
    <x v="8"/>
    <x v="12"/>
    <n v="0.05"/>
    <x v="2"/>
    <x v="1"/>
    <s v="عميل 12"/>
    <x v="119"/>
  </r>
  <r>
    <n v="10887"/>
    <s v="أحمد"/>
    <d v="2026-08-07T00:00:00"/>
    <x v="10"/>
    <x v="3"/>
    <x v="7"/>
    <x v="19"/>
    <x v="4"/>
    <x v="10"/>
    <n v="7.0000000000000007E-2"/>
    <x v="0"/>
    <x v="2"/>
    <s v="عميل 222"/>
    <x v="37"/>
  </r>
  <r>
    <n v="10888"/>
    <s v="مصطفى"/>
    <d v="2026-08-27T00:00:00"/>
    <x v="8"/>
    <x v="4"/>
    <x v="6"/>
    <x v="14"/>
    <x v="3"/>
    <x v="8"/>
    <n v="0.15"/>
    <x v="1"/>
    <x v="2"/>
    <s v="عميل 265"/>
    <x v="108"/>
  </r>
  <r>
    <n v="10889"/>
    <s v="علي"/>
    <d v="2026-09-30T00:00:00"/>
    <x v="4"/>
    <x v="3"/>
    <x v="1"/>
    <x v="10"/>
    <x v="9"/>
    <x v="4"/>
    <n v="0.05"/>
    <x v="1"/>
    <x v="2"/>
    <s v="عميل 3"/>
    <x v="113"/>
  </r>
  <r>
    <n v="10890"/>
    <s v="أحمد"/>
    <d v="2026-04-26T00:00:00"/>
    <x v="2"/>
    <x v="2"/>
    <x v="2"/>
    <x v="2"/>
    <x v="3"/>
    <x v="2"/>
    <n v="0.1"/>
    <x v="1"/>
    <x v="0"/>
    <s v="عميل 128"/>
    <x v="104"/>
  </r>
  <r>
    <n v="10891"/>
    <s v="محمد"/>
    <d v="2026-01-15T00:00:00"/>
    <x v="5"/>
    <x v="4"/>
    <x v="5"/>
    <x v="21"/>
    <x v="0"/>
    <x v="5"/>
    <n v="0"/>
    <x v="1"/>
    <x v="3"/>
    <s v="عميل 13"/>
    <x v="55"/>
  </r>
  <r>
    <n v="10892"/>
    <s v="كريم"/>
    <d v="2026-05-03T00:00:00"/>
    <x v="12"/>
    <x v="0"/>
    <x v="3"/>
    <x v="17"/>
    <x v="1"/>
    <x v="12"/>
    <n v="0"/>
    <x v="2"/>
    <x v="0"/>
    <s v="عميل 171"/>
    <x v="75"/>
  </r>
  <r>
    <n v="10893"/>
    <s v="كريم"/>
    <d v="2026-02-18T00:00:00"/>
    <x v="7"/>
    <x v="0"/>
    <x v="2"/>
    <x v="5"/>
    <x v="2"/>
    <x v="7"/>
    <n v="0.1"/>
    <x v="1"/>
    <x v="0"/>
    <s v="عميل 44"/>
    <x v="46"/>
  </r>
  <r>
    <n v="10894"/>
    <s v="محمد"/>
    <d v="2026-03-07T00:00:00"/>
    <x v="1"/>
    <x v="1"/>
    <x v="1"/>
    <x v="3"/>
    <x v="5"/>
    <x v="1"/>
    <n v="0.15"/>
    <x v="0"/>
    <x v="3"/>
    <s v="عميل 29"/>
    <x v="64"/>
  </r>
  <r>
    <n v="10895"/>
    <s v="أحمد"/>
    <d v="2026-10-14T00:00:00"/>
    <x v="14"/>
    <x v="4"/>
    <x v="6"/>
    <x v="23"/>
    <x v="3"/>
    <x v="14"/>
    <n v="0.15"/>
    <x v="0"/>
    <x v="2"/>
    <s v="عميل 196"/>
    <x v="66"/>
  </r>
  <r>
    <n v="10896"/>
    <s v="حسن"/>
    <d v="2026-01-06T00:00:00"/>
    <x v="2"/>
    <x v="2"/>
    <x v="0"/>
    <x v="26"/>
    <x v="1"/>
    <x v="2"/>
    <n v="0.1"/>
    <x v="1"/>
    <x v="3"/>
    <s v="عميل 238"/>
    <x v="93"/>
  </r>
  <r>
    <n v="10897"/>
    <s v="محمود"/>
    <d v="2026-11-30T00:00:00"/>
    <x v="4"/>
    <x v="3"/>
    <x v="6"/>
    <x v="22"/>
    <x v="2"/>
    <x v="4"/>
    <n v="0"/>
    <x v="0"/>
    <x v="3"/>
    <s v="عميل 265"/>
    <x v="116"/>
  </r>
  <r>
    <n v="10898"/>
    <s v="حسن"/>
    <d v="2026-02-04T00:00:00"/>
    <x v="9"/>
    <x v="4"/>
    <x v="2"/>
    <x v="5"/>
    <x v="3"/>
    <x v="9"/>
    <n v="0"/>
    <x v="3"/>
    <x v="1"/>
    <s v="عميل 261"/>
    <x v="65"/>
  </r>
  <r>
    <n v="10899"/>
    <s v="حسن"/>
    <d v="2026-08-16T00:00:00"/>
    <x v="14"/>
    <x v="4"/>
    <x v="3"/>
    <x v="17"/>
    <x v="6"/>
    <x v="14"/>
    <n v="0.15"/>
    <x v="3"/>
    <x v="1"/>
    <s v="عميل 71"/>
    <x v="65"/>
  </r>
  <r>
    <n v="10900"/>
    <s v="حسن"/>
    <d v="2026-08-12T00:00:00"/>
    <x v="4"/>
    <x v="3"/>
    <x v="1"/>
    <x v="1"/>
    <x v="8"/>
    <x v="4"/>
    <n v="0.05"/>
    <x v="2"/>
    <x v="2"/>
    <s v="عميل 299"/>
    <x v="32"/>
  </r>
  <r>
    <n v="10901"/>
    <s v="حسن"/>
    <d v="2026-06-25T00:00:00"/>
    <x v="11"/>
    <x v="5"/>
    <x v="5"/>
    <x v="25"/>
    <x v="6"/>
    <x v="11"/>
    <n v="0.05"/>
    <x v="2"/>
    <x v="2"/>
    <s v="عميل 5"/>
    <x v="62"/>
  </r>
  <r>
    <n v="10902"/>
    <s v="مصطفى"/>
    <d v="2026-01-28T00:00:00"/>
    <x v="7"/>
    <x v="0"/>
    <x v="5"/>
    <x v="9"/>
    <x v="1"/>
    <x v="7"/>
    <n v="0.1"/>
    <x v="1"/>
    <x v="2"/>
    <s v="عميل 101"/>
    <x v="97"/>
  </r>
  <r>
    <n v="10903"/>
    <s v="كريم"/>
    <d v="2026-12-22T00:00:00"/>
    <x v="5"/>
    <x v="4"/>
    <x v="2"/>
    <x v="5"/>
    <x v="5"/>
    <x v="5"/>
    <n v="0.03"/>
    <x v="1"/>
    <x v="2"/>
    <s v="عميل 297"/>
    <x v="29"/>
  </r>
  <r>
    <n v="10904"/>
    <s v="محمود"/>
    <d v="2026-03-25T00:00:00"/>
    <x v="12"/>
    <x v="0"/>
    <x v="3"/>
    <x v="24"/>
    <x v="0"/>
    <x v="12"/>
    <n v="7.0000000000000007E-2"/>
    <x v="0"/>
    <x v="3"/>
    <s v="عميل 22"/>
    <x v="102"/>
  </r>
  <r>
    <n v="10905"/>
    <s v="مؤمن"/>
    <d v="2026-08-27T00:00:00"/>
    <x v="6"/>
    <x v="2"/>
    <x v="2"/>
    <x v="5"/>
    <x v="1"/>
    <x v="6"/>
    <n v="0.15"/>
    <x v="3"/>
    <x v="1"/>
    <s v="عميل 247"/>
    <x v="39"/>
  </r>
  <r>
    <n v="10906"/>
    <s v="علي"/>
    <d v="2026-04-05T00:00:00"/>
    <x v="10"/>
    <x v="3"/>
    <x v="3"/>
    <x v="24"/>
    <x v="7"/>
    <x v="10"/>
    <n v="0.03"/>
    <x v="0"/>
    <x v="2"/>
    <s v="عميل 6"/>
    <x v="70"/>
  </r>
  <r>
    <n v="10907"/>
    <s v="يوسف"/>
    <d v="2026-05-29T00:00:00"/>
    <x v="13"/>
    <x v="1"/>
    <x v="3"/>
    <x v="4"/>
    <x v="4"/>
    <x v="13"/>
    <n v="0"/>
    <x v="1"/>
    <x v="1"/>
    <s v="عميل 300"/>
    <x v="117"/>
  </r>
  <r>
    <n v="10908"/>
    <s v="مؤمن"/>
    <d v="2026-05-26T00:00:00"/>
    <x v="11"/>
    <x v="5"/>
    <x v="3"/>
    <x v="4"/>
    <x v="9"/>
    <x v="11"/>
    <n v="0.03"/>
    <x v="3"/>
    <x v="1"/>
    <s v="عميل 135"/>
    <x v="11"/>
  </r>
  <r>
    <n v="10909"/>
    <s v="يوسف"/>
    <d v="2026-04-11T00:00:00"/>
    <x v="10"/>
    <x v="3"/>
    <x v="5"/>
    <x v="21"/>
    <x v="4"/>
    <x v="10"/>
    <n v="0.03"/>
    <x v="0"/>
    <x v="1"/>
    <s v="عميل 135"/>
    <x v="37"/>
  </r>
  <r>
    <n v="10910"/>
    <s v="محمد"/>
    <d v="2026-06-23T00:00:00"/>
    <x v="11"/>
    <x v="5"/>
    <x v="0"/>
    <x v="0"/>
    <x v="8"/>
    <x v="11"/>
    <n v="7.0000000000000007E-2"/>
    <x v="3"/>
    <x v="2"/>
    <s v="عميل 234"/>
    <x v="35"/>
  </r>
  <r>
    <n v="10911"/>
    <s v="حسن"/>
    <d v="2026-08-11T00:00:00"/>
    <x v="5"/>
    <x v="4"/>
    <x v="3"/>
    <x v="17"/>
    <x v="8"/>
    <x v="5"/>
    <n v="0.1"/>
    <x v="0"/>
    <x v="0"/>
    <s v="عميل 74"/>
    <x v="65"/>
  </r>
  <r>
    <n v="10912"/>
    <s v="علي"/>
    <d v="2026-12-22T00:00:00"/>
    <x v="11"/>
    <x v="5"/>
    <x v="5"/>
    <x v="25"/>
    <x v="1"/>
    <x v="11"/>
    <n v="0.1"/>
    <x v="2"/>
    <x v="2"/>
    <s v="عميل 220"/>
    <x v="102"/>
  </r>
  <r>
    <n v="10913"/>
    <s v="مؤمن"/>
    <d v="2026-10-02T00:00:00"/>
    <x v="0"/>
    <x v="0"/>
    <x v="2"/>
    <x v="5"/>
    <x v="2"/>
    <x v="0"/>
    <n v="0.1"/>
    <x v="2"/>
    <x v="1"/>
    <s v="عميل 168"/>
    <x v="11"/>
  </r>
  <r>
    <n v="10914"/>
    <s v="حسن"/>
    <d v="2026-09-08T00:00:00"/>
    <x v="5"/>
    <x v="4"/>
    <x v="1"/>
    <x v="6"/>
    <x v="8"/>
    <x v="5"/>
    <n v="0.1"/>
    <x v="3"/>
    <x v="0"/>
    <s v="عميل 241"/>
    <x v="65"/>
  </r>
  <r>
    <n v="10915"/>
    <s v="مصطفى"/>
    <d v="2026-07-11T00:00:00"/>
    <x v="4"/>
    <x v="3"/>
    <x v="0"/>
    <x v="16"/>
    <x v="4"/>
    <x v="4"/>
    <n v="7.0000000000000007E-2"/>
    <x v="1"/>
    <x v="3"/>
    <s v="عميل 92"/>
    <x v="4"/>
  </r>
  <r>
    <n v="10916"/>
    <s v="كريم"/>
    <d v="2026-08-31T00:00:00"/>
    <x v="9"/>
    <x v="4"/>
    <x v="3"/>
    <x v="24"/>
    <x v="6"/>
    <x v="9"/>
    <n v="0.15"/>
    <x v="2"/>
    <x v="3"/>
    <s v="عميل 299"/>
    <x v="20"/>
  </r>
  <r>
    <n v="10917"/>
    <s v="كريم"/>
    <d v="2026-05-01T00:00:00"/>
    <x v="0"/>
    <x v="0"/>
    <x v="1"/>
    <x v="10"/>
    <x v="1"/>
    <x v="0"/>
    <n v="0.03"/>
    <x v="1"/>
    <x v="1"/>
    <s v="عميل 157"/>
    <x v="27"/>
  </r>
  <r>
    <n v="10918"/>
    <s v="عمر"/>
    <d v="2026-10-09T00:00:00"/>
    <x v="2"/>
    <x v="2"/>
    <x v="6"/>
    <x v="22"/>
    <x v="8"/>
    <x v="2"/>
    <n v="0.05"/>
    <x v="0"/>
    <x v="1"/>
    <s v="عميل 44"/>
    <x v="10"/>
  </r>
  <r>
    <n v="10919"/>
    <s v="حسن"/>
    <d v="2026-01-22T00:00:00"/>
    <x v="14"/>
    <x v="4"/>
    <x v="4"/>
    <x v="11"/>
    <x v="5"/>
    <x v="14"/>
    <n v="0.03"/>
    <x v="1"/>
    <x v="2"/>
    <s v="عميل 219"/>
    <x v="34"/>
  </r>
  <r>
    <n v="10920"/>
    <s v="كريم"/>
    <d v="2026-06-12T00:00:00"/>
    <x v="6"/>
    <x v="2"/>
    <x v="4"/>
    <x v="20"/>
    <x v="7"/>
    <x v="6"/>
    <n v="0.05"/>
    <x v="2"/>
    <x v="3"/>
    <s v="عميل 13"/>
    <x v="60"/>
  </r>
  <r>
    <n v="10921"/>
    <s v="محمد"/>
    <d v="2026-07-03T00:00:00"/>
    <x v="3"/>
    <x v="1"/>
    <x v="4"/>
    <x v="7"/>
    <x v="0"/>
    <x v="3"/>
    <n v="0.15"/>
    <x v="0"/>
    <x v="2"/>
    <s v="عميل 257"/>
    <x v="88"/>
  </r>
  <r>
    <n v="10922"/>
    <s v="محمد"/>
    <d v="2026-02-06T00:00:00"/>
    <x v="7"/>
    <x v="0"/>
    <x v="0"/>
    <x v="13"/>
    <x v="1"/>
    <x v="7"/>
    <n v="0"/>
    <x v="2"/>
    <x v="0"/>
    <s v="عميل 280"/>
    <x v="97"/>
  </r>
  <r>
    <n v="10923"/>
    <s v="عمر"/>
    <d v="2026-12-16T00:00:00"/>
    <x v="5"/>
    <x v="4"/>
    <x v="3"/>
    <x v="4"/>
    <x v="5"/>
    <x v="5"/>
    <n v="0.05"/>
    <x v="2"/>
    <x v="1"/>
    <s v="عميل 71"/>
    <x v="29"/>
  </r>
  <r>
    <n v="10924"/>
    <s v="محمود"/>
    <d v="2026-07-26T00:00:00"/>
    <x v="8"/>
    <x v="4"/>
    <x v="7"/>
    <x v="18"/>
    <x v="0"/>
    <x v="8"/>
    <n v="0.05"/>
    <x v="1"/>
    <x v="0"/>
    <s v="عميل 242"/>
    <x v="50"/>
  </r>
  <r>
    <n v="10925"/>
    <s v="مؤمن"/>
    <d v="2026-08-31T00:00:00"/>
    <x v="0"/>
    <x v="0"/>
    <x v="5"/>
    <x v="8"/>
    <x v="1"/>
    <x v="0"/>
    <n v="0.03"/>
    <x v="3"/>
    <x v="3"/>
    <s v="عميل 237"/>
    <x v="27"/>
  </r>
  <r>
    <n v="10926"/>
    <s v="علي"/>
    <d v="2026-04-18T00:00:00"/>
    <x v="9"/>
    <x v="4"/>
    <x v="0"/>
    <x v="13"/>
    <x v="1"/>
    <x v="9"/>
    <n v="7.0000000000000007E-2"/>
    <x v="1"/>
    <x v="3"/>
    <s v="عميل 286"/>
    <x v="29"/>
  </r>
  <r>
    <n v="10927"/>
    <s v="عمر"/>
    <d v="2026-01-05T00:00:00"/>
    <x v="1"/>
    <x v="1"/>
    <x v="3"/>
    <x v="4"/>
    <x v="2"/>
    <x v="1"/>
    <n v="0.03"/>
    <x v="1"/>
    <x v="2"/>
    <s v="عميل 174"/>
    <x v="40"/>
  </r>
  <r>
    <n v="10928"/>
    <s v="مصطفى"/>
    <d v="2026-06-03T00:00:00"/>
    <x v="5"/>
    <x v="4"/>
    <x v="6"/>
    <x v="14"/>
    <x v="7"/>
    <x v="5"/>
    <n v="0.15"/>
    <x v="2"/>
    <x v="0"/>
    <s v="عميل 291"/>
    <x v="8"/>
  </r>
  <r>
    <n v="10929"/>
    <s v="حسن"/>
    <d v="2026-11-19T00:00:00"/>
    <x v="4"/>
    <x v="3"/>
    <x v="1"/>
    <x v="10"/>
    <x v="8"/>
    <x v="4"/>
    <n v="0.05"/>
    <x v="1"/>
    <x v="3"/>
    <s v="عميل 105"/>
    <x v="32"/>
  </r>
  <r>
    <n v="10930"/>
    <s v="محمد"/>
    <d v="2026-06-18T00:00:00"/>
    <x v="2"/>
    <x v="2"/>
    <x v="0"/>
    <x v="26"/>
    <x v="1"/>
    <x v="2"/>
    <n v="7.0000000000000007E-2"/>
    <x v="1"/>
    <x v="2"/>
    <s v="عميل 48"/>
    <x v="93"/>
  </r>
  <r>
    <n v="10931"/>
    <s v="حسن"/>
    <d v="2026-09-08T00:00:00"/>
    <x v="3"/>
    <x v="1"/>
    <x v="0"/>
    <x v="16"/>
    <x v="9"/>
    <x v="3"/>
    <n v="0.15"/>
    <x v="0"/>
    <x v="1"/>
    <s v="عميل 102"/>
    <x v="46"/>
  </r>
  <r>
    <n v="10932"/>
    <s v="عمر"/>
    <d v="2026-12-04T00:00:00"/>
    <x v="13"/>
    <x v="1"/>
    <x v="6"/>
    <x v="14"/>
    <x v="1"/>
    <x v="13"/>
    <n v="0.03"/>
    <x v="0"/>
    <x v="3"/>
    <s v="عميل 30"/>
    <x v="106"/>
  </r>
  <r>
    <n v="10933"/>
    <s v="علي"/>
    <d v="2026-03-22T00:00:00"/>
    <x v="9"/>
    <x v="4"/>
    <x v="1"/>
    <x v="10"/>
    <x v="5"/>
    <x v="9"/>
    <n v="7.0000000000000007E-2"/>
    <x v="0"/>
    <x v="1"/>
    <s v="عميل 275"/>
    <x v="110"/>
  </r>
  <r>
    <n v="10934"/>
    <s v="مؤمن"/>
    <d v="2026-03-08T00:00:00"/>
    <x v="2"/>
    <x v="2"/>
    <x v="4"/>
    <x v="11"/>
    <x v="3"/>
    <x v="2"/>
    <n v="7.0000000000000007E-2"/>
    <x v="3"/>
    <x v="2"/>
    <s v="عميل 222"/>
    <x v="104"/>
  </r>
  <r>
    <n v="10935"/>
    <s v="عمر"/>
    <d v="2026-10-28T00:00:00"/>
    <x v="8"/>
    <x v="4"/>
    <x v="4"/>
    <x v="7"/>
    <x v="2"/>
    <x v="8"/>
    <n v="0.1"/>
    <x v="3"/>
    <x v="3"/>
    <s v="عميل 142"/>
    <x v="99"/>
  </r>
  <r>
    <n v="10936"/>
    <s v="علي"/>
    <d v="2026-11-06T00:00:00"/>
    <x v="5"/>
    <x v="4"/>
    <x v="1"/>
    <x v="10"/>
    <x v="6"/>
    <x v="5"/>
    <n v="0"/>
    <x v="3"/>
    <x v="2"/>
    <s v="عميل 292"/>
    <x v="56"/>
  </r>
  <r>
    <n v="10937"/>
    <s v="أحمد"/>
    <d v="2026-02-16T00:00:00"/>
    <x v="11"/>
    <x v="5"/>
    <x v="4"/>
    <x v="20"/>
    <x v="6"/>
    <x v="11"/>
    <n v="0.1"/>
    <x v="2"/>
    <x v="3"/>
    <s v="عميل 178"/>
    <x v="62"/>
  </r>
  <r>
    <n v="10938"/>
    <s v="علي"/>
    <d v="2026-05-08T00:00:00"/>
    <x v="10"/>
    <x v="3"/>
    <x v="7"/>
    <x v="15"/>
    <x v="2"/>
    <x v="10"/>
    <n v="0.03"/>
    <x v="3"/>
    <x v="3"/>
    <s v="عميل 235"/>
    <x v="103"/>
  </r>
  <r>
    <n v="10939"/>
    <s v="أحمد"/>
    <d v="2026-05-03T00:00:00"/>
    <x v="2"/>
    <x v="2"/>
    <x v="5"/>
    <x v="9"/>
    <x v="7"/>
    <x v="2"/>
    <n v="0.15"/>
    <x v="3"/>
    <x v="2"/>
    <s v="عميل 276"/>
    <x v="101"/>
  </r>
  <r>
    <n v="10940"/>
    <s v="مصطفى"/>
    <d v="2026-03-04T00:00:00"/>
    <x v="14"/>
    <x v="4"/>
    <x v="0"/>
    <x v="16"/>
    <x v="6"/>
    <x v="14"/>
    <n v="7.0000000000000007E-2"/>
    <x v="2"/>
    <x v="0"/>
    <s v="عميل 54"/>
    <x v="65"/>
  </r>
  <r>
    <n v="10941"/>
    <s v="عمر"/>
    <d v="2026-04-17T00:00:00"/>
    <x v="7"/>
    <x v="0"/>
    <x v="3"/>
    <x v="17"/>
    <x v="6"/>
    <x v="7"/>
    <n v="0.03"/>
    <x v="0"/>
    <x v="3"/>
    <s v="عميل 14"/>
    <x v="7"/>
  </r>
  <r>
    <n v="10942"/>
    <s v="علي"/>
    <d v="2026-04-10T00:00:00"/>
    <x v="13"/>
    <x v="1"/>
    <x v="4"/>
    <x v="20"/>
    <x v="5"/>
    <x v="13"/>
    <n v="0.15"/>
    <x v="1"/>
    <x v="0"/>
    <s v="عميل 6"/>
    <x v="33"/>
  </r>
  <r>
    <n v="10943"/>
    <s v="كريم"/>
    <d v="2026-09-06T00:00:00"/>
    <x v="14"/>
    <x v="4"/>
    <x v="0"/>
    <x v="16"/>
    <x v="5"/>
    <x v="14"/>
    <n v="0.15"/>
    <x v="1"/>
    <x v="0"/>
    <s v="عميل 43"/>
    <x v="34"/>
  </r>
  <r>
    <n v="10944"/>
    <s v="كريم"/>
    <d v="2026-05-23T00:00:00"/>
    <x v="7"/>
    <x v="0"/>
    <x v="2"/>
    <x v="12"/>
    <x v="6"/>
    <x v="7"/>
    <n v="0.03"/>
    <x v="3"/>
    <x v="1"/>
    <s v="عميل 10"/>
    <x v="7"/>
  </r>
  <r>
    <n v="10945"/>
    <s v="مصطفى"/>
    <d v="2026-07-20T00:00:00"/>
    <x v="12"/>
    <x v="0"/>
    <x v="0"/>
    <x v="16"/>
    <x v="0"/>
    <x v="12"/>
    <n v="0"/>
    <x v="3"/>
    <x v="0"/>
    <s v="عميل 6"/>
    <x v="102"/>
  </r>
  <r>
    <n v="10946"/>
    <s v="يوسف"/>
    <d v="2026-04-21T00:00:00"/>
    <x v="0"/>
    <x v="0"/>
    <x v="7"/>
    <x v="18"/>
    <x v="6"/>
    <x v="0"/>
    <n v="0.05"/>
    <x v="0"/>
    <x v="1"/>
    <s v="عميل 227"/>
    <x v="111"/>
  </r>
  <r>
    <n v="10947"/>
    <s v="عمر"/>
    <d v="2026-08-16T00:00:00"/>
    <x v="10"/>
    <x v="3"/>
    <x v="1"/>
    <x v="1"/>
    <x v="7"/>
    <x v="10"/>
    <n v="0.15"/>
    <x v="0"/>
    <x v="0"/>
    <s v="عميل 25"/>
    <x v="70"/>
  </r>
  <r>
    <n v="10948"/>
    <s v="مؤمن"/>
    <d v="2026-04-13T00:00:00"/>
    <x v="4"/>
    <x v="3"/>
    <x v="6"/>
    <x v="23"/>
    <x v="1"/>
    <x v="4"/>
    <n v="0.05"/>
    <x v="0"/>
    <x v="0"/>
    <s v="عميل 216"/>
    <x v="94"/>
  </r>
  <r>
    <n v="10949"/>
    <s v="محمد"/>
    <d v="2026-04-23T00:00:00"/>
    <x v="1"/>
    <x v="1"/>
    <x v="1"/>
    <x v="6"/>
    <x v="1"/>
    <x v="1"/>
    <n v="0.15"/>
    <x v="0"/>
    <x v="1"/>
    <s v="عميل 86"/>
    <x v="1"/>
  </r>
  <r>
    <n v="10950"/>
    <s v="محمود"/>
    <d v="2026-10-15T00:00:00"/>
    <x v="1"/>
    <x v="1"/>
    <x v="6"/>
    <x v="22"/>
    <x v="3"/>
    <x v="1"/>
    <n v="0.05"/>
    <x v="3"/>
    <x v="1"/>
    <s v="عميل 278"/>
    <x v="120"/>
  </r>
  <r>
    <n v="10951"/>
    <s v="محمد"/>
    <d v="2026-07-02T00:00:00"/>
    <x v="2"/>
    <x v="2"/>
    <x v="6"/>
    <x v="23"/>
    <x v="1"/>
    <x v="2"/>
    <n v="0.03"/>
    <x v="2"/>
    <x v="1"/>
    <s v="عميل 8"/>
    <x v="93"/>
  </r>
  <r>
    <n v="10952"/>
    <s v="كريم"/>
    <d v="2026-04-23T00:00:00"/>
    <x v="2"/>
    <x v="2"/>
    <x v="3"/>
    <x v="4"/>
    <x v="7"/>
    <x v="2"/>
    <n v="0.03"/>
    <x v="0"/>
    <x v="2"/>
    <s v="عميل 189"/>
    <x v="101"/>
  </r>
  <r>
    <n v="10953"/>
    <s v="حسن"/>
    <d v="2026-09-13T00:00:00"/>
    <x v="1"/>
    <x v="1"/>
    <x v="0"/>
    <x v="16"/>
    <x v="7"/>
    <x v="1"/>
    <n v="0.05"/>
    <x v="0"/>
    <x v="1"/>
    <s v="عميل 129"/>
    <x v="45"/>
  </r>
  <r>
    <n v="10954"/>
    <s v="يوسف"/>
    <d v="2026-06-20T00:00:00"/>
    <x v="13"/>
    <x v="1"/>
    <x v="3"/>
    <x v="24"/>
    <x v="7"/>
    <x v="13"/>
    <n v="0.15"/>
    <x v="3"/>
    <x v="2"/>
    <s v="عميل 247"/>
    <x v="49"/>
  </r>
  <r>
    <n v="10955"/>
    <s v="كريم"/>
    <d v="2026-07-15T00:00:00"/>
    <x v="13"/>
    <x v="1"/>
    <x v="3"/>
    <x v="4"/>
    <x v="2"/>
    <x v="13"/>
    <n v="0.1"/>
    <x v="3"/>
    <x v="0"/>
    <s v="عميل 120"/>
    <x v="48"/>
  </r>
  <r>
    <n v="10956"/>
    <s v="علي"/>
    <d v="2026-05-05T00:00:00"/>
    <x v="1"/>
    <x v="1"/>
    <x v="0"/>
    <x v="13"/>
    <x v="1"/>
    <x v="1"/>
    <n v="0.15"/>
    <x v="0"/>
    <x v="0"/>
    <s v="عميل 71"/>
    <x v="1"/>
  </r>
  <r>
    <n v="10957"/>
    <s v="علي"/>
    <d v="2026-04-15T00:00:00"/>
    <x v="9"/>
    <x v="4"/>
    <x v="4"/>
    <x v="20"/>
    <x v="1"/>
    <x v="9"/>
    <n v="0.03"/>
    <x v="0"/>
    <x v="1"/>
    <s v="عميل 228"/>
    <x v="29"/>
  </r>
  <r>
    <n v="10958"/>
    <s v="أحمد"/>
    <d v="2026-09-24T00:00:00"/>
    <x v="10"/>
    <x v="3"/>
    <x v="3"/>
    <x v="4"/>
    <x v="0"/>
    <x v="10"/>
    <n v="0.05"/>
    <x v="1"/>
    <x v="2"/>
    <s v="عميل 13"/>
    <x v="112"/>
  </r>
  <r>
    <n v="10959"/>
    <s v="مصطفى"/>
    <d v="2026-01-28T00:00:00"/>
    <x v="5"/>
    <x v="4"/>
    <x v="3"/>
    <x v="17"/>
    <x v="1"/>
    <x v="5"/>
    <n v="0.03"/>
    <x v="3"/>
    <x v="1"/>
    <s v="عميل 196"/>
    <x v="5"/>
  </r>
  <r>
    <n v="10960"/>
    <s v="أحمد"/>
    <d v="2026-02-03T00:00:00"/>
    <x v="7"/>
    <x v="0"/>
    <x v="3"/>
    <x v="4"/>
    <x v="6"/>
    <x v="7"/>
    <n v="0.15"/>
    <x v="1"/>
    <x v="0"/>
    <s v="عميل 99"/>
    <x v="7"/>
  </r>
  <r>
    <n v="10961"/>
    <s v="يوسف"/>
    <d v="2026-10-31T00:00:00"/>
    <x v="1"/>
    <x v="1"/>
    <x v="5"/>
    <x v="25"/>
    <x v="8"/>
    <x v="1"/>
    <n v="0"/>
    <x v="3"/>
    <x v="1"/>
    <s v="عميل 260"/>
    <x v="2"/>
  </r>
  <r>
    <n v="10962"/>
    <s v="يوسف"/>
    <d v="2026-04-12T00:00:00"/>
    <x v="13"/>
    <x v="1"/>
    <x v="6"/>
    <x v="22"/>
    <x v="6"/>
    <x v="13"/>
    <n v="0.05"/>
    <x v="3"/>
    <x v="3"/>
    <s v="عميل 91"/>
    <x v="73"/>
  </r>
  <r>
    <n v="10963"/>
    <s v="كريم"/>
    <d v="2026-11-22T00:00:00"/>
    <x v="12"/>
    <x v="0"/>
    <x v="2"/>
    <x v="2"/>
    <x v="0"/>
    <x v="12"/>
    <n v="0.1"/>
    <x v="3"/>
    <x v="2"/>
    <s v="عميل 247"/>
    <x v="102"/>
  </r>
  <r>
    <n v="10964"/>
    <s v="كريم"/>
    <d v="2026-08-14T00:00:00"/>
    <x v="13"/>
    <x v="1"/>
    <x v="3"/>
    <x v="17"/>
    <x v="7"/>
    <x v="13"/>
    <n v="0.03"/>
    <x v="1"/>
    <x v="3"/>
    <s v="عميل 80"/>
    <x v="49"/>
  </r>
  <r>
    <n v="10965"/>
    <s v="محمد"/>
    <d v="2026-06-03T00:00:00"/>
    <x v="8"/>
    <x v="4"/>
    <x v="4"/>
    <x v="7"/>
    <x v="7"/>
    <x v="8"/>
    <n v="7.0000000000000007E-2"/>
    <x v="3"/>
    <x v="1"/>
    <s v="عميل 132"/>
    <x v="78"/>
  </r>
  <r>
    <n v="10966"/>
    <s v="علي"/>
    <d v="2026-10-15T00:00:00"/>
    <x v="2"/>
    <x v="2"/>
    <x v="4"/>
    <x v="20"/>
    <x v="6"/>
    <x v="2"/>
    <n v="0.05"/>
    <x v="1"/>
    <x v="0"/>
    <s v="عميل 171"/>
    <x v="42"/>
  </r>
  <r>
    <n v="10967"/>
    <s v="أحمد"/>
    <d v="2026-01-07T00:00:00"/>
    <x v="3"/>
    <x v="1"/>
    <x v="4"/>
    <x v="7"/>
    <x v="8"/>
    <x v="3"/>
    <n v="0.03"/>
    <x v="2"/>
    <x v="3"/>
    <s v="عميل 208"/>
    <x v="44"/>
  </r>
  <r>
    <n v="10968"/>
    <s v="كريم"/>
    <d v="2026-06-07T00:00:00"/>
    <x v="11"/>
    <x v="5"/>
    <x v="6"/>
    <x v="14"/>
    <x v="5"/>
    <x v="11"/>
    <n v="7.0000000000000007E-2"/>
    <x v="0"/>
    <x v="3"/>
    <s v="عميل 20"/>
    <x v="77"/>
  </r>
  <r>
    <n v="10969"/>
    <s v="مؤمن"/>
    <d v="2026-08-12T00:00:00"/>
    <x v="11"/>
    <x v="5"/>
    <x v="0"/>
    <x v="26"/>
    <x v="2"/>
    <x v="11"/>
    <n v="0.03"/>
    <x v="2"/>
    <x v="2"/>
    <s v="عميل 261"/>
    <x v="124"/>
  </r>
  <r>
    <n v="10970"/>
    <s v="أحمد"/>
    <d v="2026-11-30T00:00:00"/>
    <x v="10"/>
    <x v="3"/>
    <x v="4"/>
    <x v="11"/>
    <x v="5"/>
    <x v="10"/>
    <n v="0.15"/>
    <x v="1"/>
    <x v="3"/>
    <s v="عميل 127"/>
    <x v="89"/>
  </r>
  <r>
    <n v="10971"/>
    <s v="أحمد"/>
    <d v="2026-12-24T00:00:00"/>
    <x v="5"/>
    <x v="4"/>
    <x v="4"/>
    <x v="7"/>
    <x v="5"/>
    <x v="5"/>
    <n v="0.15"/>
    <x v="3"/>
    <x v="2"/>
    <s v="عميل 234"/>
    <x v="29"/>
  </r>
  <r>
    <n v="10972"/>
    <s v="حسن"/>
    <d v="2026-12-06T00:00:00"/>
    <x v="0"/>
    <x v="0"/>
    <x v="5"/>
    <x v="21"/>
    <x v="1"/>
    <x v="0"/>
    <n v="0.1"/>
    <x v="3"/>
    <x v="0"/>
    <s v="عميل 60"/>
    <x v="27"/>
  </r>
  <r>
    <n v="10973"/>
    <s v="حسن"/>
    <d v="2026-02-11T00:00:00"/>
    <x v="4"/>
    <x v="3"/>
    <x v="0"/>
    <x v="26"/>
    <x v="7"/>
    <x v="4"/>
    <n v="0.15"/>
    <x v="3"/>
    <x v="3"/>
    <s v="عميل 85"/>
    <x v="127"/>
  </r>
  <r>
    <n v="10974"/>
    <s v="مصطفى"/>
    <d v="2026-12-04T00:00:00"/>
    <x v="8"/>
    <x v="4"/>
    <x v="6"/>
    <x v="14"/>
    <x v="0"/>
    <x v="8"/>
    <n v="0.1"/>
    <x v="1"/>
    <x v="2"/>
    <s v="عميل 211"/>
    <x v="50"/>
  </r>
  <r>
    <n v="10975"/>
    <s v="يوسف"/>
    <d v="2026-05-18T00:00:00"/>
    <x v="4"/>
    <x v="3"/>
    <x v="0"/>
    <x v="0"/>
    <x v="2"/>
    <x v="4"/>
    <n v="0.05"/>
    <x v="3"/>
    <x v="3"/>
    <s v="عميل 158"/>
    <x v="116"/>
  </r>
  <r>
    <n v="10976"/>
    <s v="محمد"/>
    <d v="2026-12-23T00:00:00"/>
    <x v="1"/>
    <x v="1"/>
    <x v="5"/>
    <x v="8"/>
    <x v="9"/>
    <x v="1"/>
    <n v="0"/>
    <x v="1"/>
    <x v="3"/>
    <s v="عميل 148"/>
    <x v="107"/>
  </r>
  <r>
    <n v="10977"/>
    <s v="يوسف"/>
    <d v="2026-12-27T00:00:00"/>
    <x v="10"/>
    <x v="3"/>
    <x v="6"/>
    <x v="23"/>
    <x v="8"/>
    <x v="10"/>
    <n v="0.05"/>
    <x v="3"/>
    <x v="1"/>
    <s v="عميل 250"/>
    <x v="98"/>
  </r>
  <r>
    <n v="10978"/>
    <s v="يوسف"/>
    <d v="2026-04-13T00:00:00"/>
    <x v="3"/>
    <x v="1"/>
    <x v="0"/>
    <x v="26"/>
    <x v="2"/>
    <x v="3"/>
    <n v="0.03"/>
    <x v="0"/>
    <x v="1"/>
    <s v="عميل 99"/>
    <x v="68"/>
  </r>
  <r>
    <n v="10979"/>
    <s v="يوسف"/>
    <d v="2026-02-10T00:00:00"/>
    <x v="14"/>
    <x v="4"/>
    <x v="6"/>
    <x v="14"/>
    <x v="2"/>
    <x v="14"/>
    <n v="0"/>
    <x v="2"/>
    <x v="0"/>
    <s v="عميل 194"/>
    <x v="58"/>
  </r>
  <r>
    <n v="10980"/>
    <s v="حسن"/>
    <d v="2026-05-01T00:00:00"/>
    <x v="13"/>
    <x v="1"/>
    <x v="7"/>
    <x v="18"/>
    <x v="5"/>
    <x v="13"/>
    <n v="0"/>
    <x v="1"/>
    <x v="3"/>
    <s v="عميل 52"/>
    <x v="33"/>
  </r>
  <r>
    <n v="10981"/>
    <s v="حسن"/>
    <d v="2026-01-22T00:00:00"/>
    <x v="1"/>
    <x v="1"/>
    <x v="1"/>
    <x v="6"/>
    <x v="9"/>
    <x v="1"/>
    <n v="0.15"/>
    <x v="0"/>
    <x v="1"/>
    <s v="عميل 268"/>
    <x v="107"/>
  </r>
  <r>
    <n v="10982"/>
    <s v="عمر"/>
    <d v="2026-09-06T00:00:00"/>
    <x v="4"/>
    <x v="3"/>
    <x v="1"/>
    <x v="3"/>
    <x v="2"/>
    <x v="4"/>
    <n v="0.1"/>
    <x v="1"/>
    <x v="2"/>
    <s v="عميل 220"/>
    <x v="116"/>
  </r>
  <r>
    <n v="10983"/>
    <s v="مؤمن"/>
    <d v="2026-07-04T00:00:00"/>
    <x v="9"/>
    <x v="4"/>
    <x v="3"/>
    <x v="24"/>
    <x v="5"/>
    <x v="9"/>
    <n v="0.05"/>
    <x v="1"/>
    <x v="3"/>
    <s v="عميل 30"/>
    <x v="110"/>
  </r>
  <r>
    <n v="10984"/>
    <s v="علي"/>
    <d v="2026-03-13T00:00:00"/>
    <x v="9"/>
    <x v="4"/>
    <x v="3"/>
    <x v="4"/>
    <x v="9"/>
    <x v="9"/>
    <n v="7.0000000000000007E-2"/>
    <x v="0"/>
    <x v="0"/>
    <s v="عميل 272"/>
    <x v="54"/>
  </r>
  <r>
    <n v="10985"/>
    <s v="كريم"/>
    <d v="2026-09-21T00:00:00"/>
    <x v="14"/>
    <x v="4"/>
    <x v="2"/>
    <x v="2"/>
    <x v="6"/>
    <x v="14"/>
    <n v="0.1"/>
    <x v="1"/>
    <x v="1"/>
    <s v="عميل 2"/>
    <x v="65"/>
  </r>
  <r>
    <n v="10986"/>
    <s v="محمود"/>
    <d v="2026-12-14T00:00:00"/>
    <x v="0"/>
    <x v="0"/>
    <x v="3"/>
    <x v="4"/>
    <x v="5"/>
    <x v="0"/>
    <n v="0"/>
    <x v="1"/>
    <x v="1"/>
    <s v="عميل 249"/>
    <x v="28"/>
  </r>
  <r>
    <n v="10987"/>
    <s v="محمد"/>
    <d v="2026-07-17T00:00:00"/>
    <x v="2"/>
    <x v="2"/>
    <x v="0"/>
    <x v="13"/>
    <x v="7"/>
    <x v="2"/>
    <n v="7.0000000000000007E-2"/>
    <x v="2"/>
    <x v="1"/>
    <s v="عميل 74"/>
    <x v="101"/>
  </r>
  <r>
    <n v="10988"/>
    <s v="عمر"/>
    <d v="2026-12-11T00:00:00"/>
    <x v="8"/>
    <x v="4"/>
    <x v="1"/>
    <x v="10"/>
    <x v="6"/>
    <x v="8"/>
    <n v="0"/>
    <x v="1"/>
    <x v="1"/>
    <s v="عميل 229"/>
    <x v="91"/>
  </r>
  <r>
    <n v="10989"/>
    <s v="مؤمن"/>
    <d v="2026-04-19T00:00:00"/>
    <x v="13"/>
    <x v="1"/>
    <x v="4"/>
    <x v="11"/>
    <x v="4"/>
    <x v="13"/>
    <n v="0.03"/>
    <x v="3"/>
    <x v="0"/>
    <s v="عميل 55"/>
    <x v="117"/>
  </r>
  <r>
    <n v="10990"/>
    <s v="عمر"/>
    <d v="2026-04-23T00:00:00"/>
    <x v="2"/>
    <x v="2"/>
    <x v="1"/>
    <x v="10"/>
    <x v="5"/>
    <x v="2"/>
    <n v="7.0000000000000007E-2"/>
    <x v="2"/>
    <x v="3"/>
    <s v="عميل 64"/>
    <x v="52"/>
  </r>
  <r>
    <n v="10991"/>
    <s v="محمود"/>
    <d v="2026-04-25T00:00:00"/>
    <x v="0"/>
    <x v="0"/>
    <x v="5"/>
    <x v="8"/>
    <x v="3"/>
    <x v="0"/>
    <n v="0.15"/>
    <x v="0"/>
    <x v="2"/>
    <s v="عميل 194"/>
    <x v="105"/>
  </r>
  <r>
    <n v="10992"/>
    <s v="مؤمن"/>
    <d v="2026-04-25T00:00:00"/>
    <x v="11"/>
    <x v="5"/>
    <x v="6"/>
    <x v="22"/>
    <x v="4"/>
    <x v="11"/>
    <n v="7.0000000000000007E-2"/>
    <x v="2"/>
    <x v="0"/>
    <s v="عميل 149"/>
    <x v="126"/>
  </r>
  <r>
    <n v="10993"/>
    <s v="حسن"/>
    <d v="2026-04-07T00:00:00"/>
    <x v="13"/>
    <x v="1"/>
    <x v="0"/>
    <x v="0"/>
    <x v="5"/>
    <x v="13"/>
    <n v="0.15"/>
    <x v="0"/>
    <x v="2"/>
    <s v="عميل 66"/>
    <x v="33"/>
  </r>
  <r>
    <n v="10994"/>
    <s v="أحمد"/>
    <d v="2026-06-09T00:00:00"/>
    <x v="8"/>
    <x v="4"/>
    <x v="3"/>
    <x v="17"/>
    <x v="2"/>
    <x v="8"/>
    <n v="0.15"/>
    <x v="0"/>
    <x v="1"/>
    <s v="عميل 199"/>
    <x v="99"/>
  </r>
  <r>
    <n v="10995"/>
    <s v="حسن"/>
    <d v="2026-10-30T00:00:00"/>
    <x v="2"/>
    <x v="2"/>
    <x v="3"/>
    <x v="17"/>
    <x v="8"/>
    <x v="2"/>
    <n v="0.1"/>
    <x v="3"/>
    <x v="0"/>
    <s v="عميل 203"/>
    <x v="10"/>
  </r>
  <r>
    <n v="10996"/>
    <s v="مؤمن"/>
    <d v="2026-09-13T00:00:00"/>
    <x v="1"/>
    <x v="1"/>
    <x v="4"/>
    <x v="20"/>
    <x v="8"/>
    <x v="1"/>
    <n v="0.05"/>
    <x v="1"/>
    <x v="1"/>
    <s v="عميل 146"/>
    <x v="2"/>
  </r>
  <r>
    <n v="10997"/>
    <s v="محمد"/>
    <d v="2026-05-21T00:00:00"/>
    <x v="3"/>
    <x v="1"/>
    <x v="1"/>
    <x v="6"/>
    <x v="0"/>
    <x v="3"/>
    <n v="0.1"/>
    <x v="1"/>
    <x v="1"/>
    <s v="عميل 254"/>
    <x v="88"/>
  </r>
  <r>
    <n v="10998"/>
    <s v="مؤمن"/>
    <d v="2026-04-26T00:00:00"/>
    <x v="14"/>
    <x v="4"/>
    <x v="6"/>
    <x v="23"/>
    <x v="5"/>
    <x v="14"/>
    <n v="0.03"/>
    <x v="0"/>
    <x v="1"/>
    <s v="عميل 250"/>
    <x v="34"/>
  </r>
  <r>
    <n v="10999"/>
    <s v="مصطفى"/>
    <d v="2026-07-20T00:00:00"/>
    <x v="10"/>
    <x v="3"/>
    <x v="6"/>
    <x v="14"/>
    <x v="8"/>
    <x v="10"/>
    <n v="0"/>
    <x v="2"/>
    <x v="3"/>
    <s v="عميل 243"/>
    <x v="98"/>
  </r>
  <r>
    <n v="11000"/>
    <s v="عمر"/>
    <d v="2026-05-25T00:00:00"/>
    <x v="9"/>
    <x v="4"/>
    <x v="6"/>
    <x v="14"/>
    <x v="3"/>
    <x v="9"/>
    <n v="0.1"/>
    <x v="3"/>
    <x v="3"/>
    <s v="عميل 50"/>
    <x v="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01"/>
    <s v="مؤمن"/>
    <d v="2026-03-13T00:00:00"/>
    <x v="0"/>
    <s v="تخزين"/>
    <x v="0"/>
    <x v="0"/>
    <n v="5"/>
    <n v="650"/>
    <n v="0.03"/>
    <s v="كاش"/>
    <x v="0"/>
    <s v="عميل 217"/>
    <n v="3250"/>
    <n v="3152.5"/>
  </r>
  <r>
    <n v="10002"/>
    <s v="مصطفى"/>
    <d v="2026-11-05T00:00:00"/>
    <x v="1"/>
    <s v="أجهزة كمبيوتر"/>
    <x v="1"/>
    <x v="1"/>
    <n v="4"/>
    <n v="25000"/>
    <n v="0.03"/>
    <s v="كاش"/>
    <x v="1"/>
    <s v="عميل 280"/>
    <n v="100000"/>
    <n v="97000"/>
  </r>
  <r>
    <n v="10003"/>
    <s v="أحمد"/>
    <d v="2026-03-23T00:00:00"/>
    <x v="2"/>
    <s v="شاشات"/>
    <x v="2"/>
    <x v="2"/>
    <n v="10"/>
    <n v="7500"/>
    <n v="0.05"/>
    <s v="محفظة إلكترونية"/>
    <x v="2"/>
    <s v="عميل 143"/>
    <n v="75000"/>
    <n v="71250"/>
  </r>
  <r>
    <n v="10004"/>
    <s v="علي"/>
    <d v="2026-02-19T00:00:00"/>
    <x v="3"/>
    <s v="أجهزة كمبيوتر"/>
    <x v="2"/>
    <x v="2"/>
    <n v="2"/>
    <n v="32000"/>
    <n v="0"/>
    <s v="تحويل بنكي"/>
    <x v="2"/>
    <s v="عميل 136"/>
    <n v="64000"/>
    <n v="64000"/>
  </r>
  <r>
    <n v="10005"/>
    <s v="علي"/>
    <d v="2026-02-10T00:00:00"/>
    <x v="4"/>
    <s v="شبكات"/>
    <x v="1"/>
    <x v="3"/>
    <n v="9"/>
    <n v="150"/>
    <n v="0"/>
    <s v="تحويل بنكي"/>
    <x v="2"/>
    <s v="عميل 296"/>
    <n v="1350"/>
    <n v="1350"/>
  </r>
  <r>
    <n v="10006"/>
    <s v="محمد"/>
    <d v="2026-04-30T00:00:00"/>
    <x v="5"/>
    <s v="إكسسوارات"/>
    <x v="0"/>
    <x v="0"/>
    <n v="4"/>
    <n v="1200"/>
    <n v="0.05"/>
    <s v="كاش"/>
    <x v="3"/>
    <s v="عميل 143"/>
    <n v="4800"/>
    <n v="4560"/>
  </r>
  <r>
    <n v="10007"/>
    <s v="مؤمن"/>
    <d v="2026-12-10T00:00:00"/>
    <x v="6"/>
    <s v="شاشات"/>
    <x v="3"/>
    <x v="4"/>
    <n v="6"/>
    <n v="9000"/>
    <n v="0.05"/>
    <s v="تحويل بنكي"/>
    <x v="0"/>
    <s v="عميل 88"/>
    <n v="54000"/>
    <n v="51300"/>
  </r>
  <r>
    <n v="10008"/>
    <s v="عمر"/>
    <d v="2026-11-24T00:00:00"/>
    <x v="7"/>
    <s v="تخزين"/>
    <x v="2"/>
    <x v="5"/>
    <n v="8"/>
    <n v="3200"/>
    <n v="7.0000000000000007E-2"/>
    <s v="فيزا"/>
    <x v="2"/>
    <s v="عميل 29"/>
    <n v="25600"/>
    <n v="23808"/>
  </r>
  <r>
    <n v="10009"/>
    <s v="محمد"/>
    <d v="2026-04-19T00:00:00"/>
    <x v="5"/>
    <s v="إكسسوارات"/>
    <x v="1"/>
    <x v="6"/>
    <n v="7"/>
    <n v="1200"/>
    <n v="0.05"/>
    <s v="تحويل بنكي"/>
    <x v="1"/>
    <s v="عميل 256"/>
    <n v="8400"/>
    <n v="7980"/>
  </r>
  <r>
    <n v="10010"/>
    <s v="مؤمن"/>
    <d v="2026-10-15T00:00:00"/>
    <x v="2"/>
    <s v="شاشات"/>
    <x v="4"/>
    <x v="7"/>
    <n v="5"/>
    <n v="7500"/>
    <n v="0.03"/>
    <s v="تحويل بنكي"/>
    <x v="3"/>
    <s v="عميل 299"/>
    <n v="37500"/>
    <n v="36375"/>
  </r>
  <r>
    <n v="10011"/>
    <s v="كريم"/>
    <d v="2026-02-16T00:00:00"/>
    <x v="2"/>
    <s v="شاشات"/>
    <x v="3"/>
    <x v="4"/>
    <n v="3"/>
    <n v="7500"/>
    <n v="0.1"/>
    <s v="كاش"/>
    <x v="0"/>
    <s v="عميل 79"/>
    <n v="22500"/>
    <n v="20250"/>
  </r>
  <r>
    <n v="10012"/>
    <s v="علي"/>
    <d v="2026-07-15T00:00:00"/>
    <x v="0"/>
    <s v="تخزين"/>
    <x v="5"/>
    <x v="8"/>
    <n v="10"/>
    <n v="650"/>
    <n v="0"/>
    <s v="محفظة إلكترونية"/>
    <x v="2"/>
    <s v="عميل 284"/>
    <n v="6500"/>
    <n v="6500"/>
  </r>
  <r>
    <n v="10013"/>
    <s v="محمود"/>
    <d v="2026-02-27T00:00:00"/>
    <x v="8"/>
    <s v="إكسسوارات"/>
    <x v="1"/>
    <x v="1"/>
    <n v="9"/>
    <n v="1400"/>
    <n v="0.05"/>
    <s v="تحويل بنكي"/>
    <x v="3"/>
    <s v="عميل 81"/>
    <n v="12600"/>
    <n v="11970"/>
  </r>
  <r>
    <n v="10014"/>
    <s v="مصطفى"/>
    <d v="2026-02-24T00:00:00"/>
    <x v="6"/>
    <s v="شاشات"/>
    <x v="1"/>
    <x v="6"/>
    <n v="9"/>
    <n v="9000"/>
    <n v="0.03"/>
    <s v="تحويل بنكي"/>
    <x v="1"/>
    <s v="عميل 79"/>
    <n v="81000"/>
    <n v="78570"/>
  </r>
  <r>
    <n v="10015"/>
    <s v="كريم"/>
    <d v="2026-01-10T00:00:00"/>
    <x v="9"/>
    <s v="إكسسوارات"/>
    <x v="5"/>
    <x v="9"/>
    <n v="10"/>
    <n v="1800"/>
    <n v="0.05"/>
    <s v="كاش"/>
    <x v="2"/>
    <s v="عميل 158"/>
    <n v="18000"/>
    <n v="17100"/>
  </r>
  <r>
    <n v="10016"/>
    <s v="محمد"/>
    <d v="2026-09-06T00:00:00"/>
    <x v="5"/>
    <s v="إكسسوارات"/>
    <x v="1"/>
    <x v="10"/>
    <n v="10"/>
    <n v="1200"/>
    <n v="0"/>
    <s v="كاش"/>
    <x v="1"/>
    <s v="عميل 66"/>
    <n v="12000"/>
    <n v="12000"/>
  </r>
  <r>
    <n v="10017"/>
    <s v="مصطفى"/>
    <d v="2026-11-07T00:00:00"/>
    <x v="0"/>
    <s v="تخزين"/>
    <x v="4"/>
    <x v="11"/>
    <n v="3"/>
    <n v="650"/>
    <n v="0.05"/>
    <s v="محفظة إلكترونية"/>
    <x v="1"/>
    <s v="عميل 277"/>
    <n v="1950"/>
    <n v="1852.5"/>
  </r>
  <r>
    <n v="10018"/>
    <s v="محمود"/>
    <d v="2026-08-13T00:00:00"/>
    <x v="4"/>
    <s v="شبكات"/>
    <x v="2"/>
    <x v="12"/>
    <n v="5"/>
    <n v="150"/>
    <n v="7.0000000000000007E-2"/>
    <s v="محفظة إلكترونية"/>
    <x v="0"/>
    <s v="عميل 127"/>
    <n v="750"/>
    <n v="697.5"/>
  </r>
  <r>
    <n v="10019"/>
    <s v="مصطفى"/>
    <d v="2026-04-28T00:00:00"/>
    <x v="5"/>
    <s v="إكسسوارات"/>
    <x v="0"/>
    <x v="13"/>
    <n v="1"/>
    <n v="1200"/>
    <n v="0.1"/>
    <s v="فيزا"/>
    <x v="0"/>
    <s v="عميل 37"/>
    <n v="1200"/>
    <n v="1080"/>
  </r>
  <r>
    <n v="10020"/>
    <s v="محمود"/>
    <d v="2026-02-06T00:00:00"/>
    <x v="10"/>
    <s v="شبكات"/>
    <x v="1"/>
    <x v="10"/>
    <n v="2"/>
    <n v="2200"/>
    <n v="0"/>
    <s v="فيزا"/>
    <x v="2"/>
    <s v="عميل 249"/>
    <n v="4400"/>
    <n v="4400"/>
  </r>
  <r>
    <n v="10021"/>
    <s v="علي"/>
    <d v="2026-04-08T00:00:00"/>
    <x v="5"/>
    <s v="إكسسوارات"/>
    <x v="5"/>
    <x v="8"/>
    <n v="4"/>
    <n v="1200"/>
    <n v="7.0000000000000007E-2"/>
    <s v="كاش"/>
    <x v="0"/>
    <s v="عميل 221"/>
    <n v="4800"/>
    <n v="4464"/>
  </r>
  <r>
    <n v="10022"/>
    <s v="أحمد"/>
    <d v="2026-12-11T00:00:00"/>
    <x v="9"/>
    <s v="إكسسوارات"/>
    <x v="6"/>
    <x v="14"/>
    <n v="8"/>
    <n v="1800"/>
    <n v="0.15"/>
    <s v="كاش"/>
    <x v="0"/>
    <s v="عميل 207"/>
    <n v="14400"/>
    <n v="12240"/>
  </r>
  <r>
    <n v="10023"/>
    <s v="مؤمن"/>
    <d v="2026-10-02T00:00:00"/>
    <x v="10"/>
    <s v="شبكات"/>
    <x v="3"/>
    <x v="4"/>
    <n v="4"/>
    <n v="2200"/>
    <n v="0.03"/>
    <s v="محفظة إلكترونية"/>
    <x v="1"/>
    <s v="عميل 217"/>
    <n v="8800"/>
    <n v="8536"/>
  </r>
  <r>
    <n v="10024"/>
    <s v="كريم"/>
    <d v="2026-10-09T00:00:00"/>
    <x v="3"/>
    <s v="أجهزة كمبيوتر"/>
    <x v="7"/>
    <x v="15"/>
    <n v="4"/>
    <n v="32000"/>
    <n v="0"/>
    <s v="كاش"/>
    <x v="0"/>
    <s v="عميل 277"/>
    <n v="128000"/>
    <n v="128000"/>
  </r>
  <r>
    <n v="10025"/>
    <s v="علي"/>
    <d v="2026-09-06T00:00:00"/>
    <x v="8"/>
    <s v="إكسسوارات"/>
    <x v="1"/>
    <x v="1"/>
    <n v="4"/>
    <n v="1400"/>
    <n v="0.03"/>
    <s v="محفظة إلكترونية"/>
    <x v="1"/>
    <s v="عميل 206"/>
    <n v="5600"/>
    <n v="5432"/>
  </r>
  <r>
    <n v="10026"/>
    <s v="علي"/>
    <d v="2026-05-16T00:00:00"/>
    <x v="11"/>
    <s v="طابعات"/>
    <x v="1"/>
    <x v="10"/>
    <n v="7"/>
    <n v="6500"/>
    <n v="0"/>
    <s v="محفظة إلكترونية"/>
    <x v="2"/>
    <s v="عميل 217"/>
    <n v="45500"/>
    <n v="45500"/>
  </r>
  <r>
    <n v="10027"/>
    <s v="مؤمن"/>
    <d v="2026-01-30T00:00:00"/>
    <x v="10"/>
    <s v="شبكات"/>
    <x v="4"/>
    <x v="7"/>
    <n v="4"/>
    <n v="2200"/>
    <n v="0.05"/>
    <s v="كاش"/>
    <x v="2"/>
    <s v="عميل 30"/>
    <n v="8800"/>
    <n v="8360"/>
  </r>
  <r>
    <n v="10028"/>
    <s v="أحمد"/>
    <d v="2026-09-18T00:00:00"/>
    <x v="1"/>
    <s v="أجهزة كمبيوتر"/>
    <x v="4"/>
    <x v="11"/>
    <n v="9"/>
    <n v="25000"/>
    <n v="0.03"/>
    <s v="كاش"/>
    <x v="1"/>
    <s v="عميل 36"/>
    <n v="225000"/>
    <n v="218250"/>
  </r>
  <r>
    <n v="10029"/>
    <s v="حسن"/>
    <d v="2026-05-07T00:00:00"/>
    <x v="12"/>
    <s v="تخزين"/>
    <x v="0"/>
    <x v="16"/>
    <n v="7"/>
    <n v="5200"/>
    <n v="0"/>
    <s v="كاش"/>
    <x v="0"/>
    <s v="عميل 215"/>
    <n v="36400"/>
    <n v="36400"/>
  </r>
  <r>
    <n v="10030"/>
    <s v="محمود"/>
    <d v="2026-05-03T00:00:00"/>
    <x v="0"/>
    <s v="تخزين"/>
    <x v="3"/>
    <x v="17"/>
    <n v="4"/>
    <n v="650"/>
    <n v="0.15"/>
    <s v="تحويل بنكي"/>
    <x v="3"/>
    <s v="عميل 68"/>
    <n v="2600"/>
    <n v="2210"/>
  </r>
  <r>
    <n v="10031"/>
    <s v="أحمد"/>
    <d v="2026-08-23T00:00:00"/>
    <x v="0"/>
    <s v="تخزين"/>
    <x v="7"/>
    <x v="15"/>
    <n v="6"/>
    <n v="650"/>
    <n v="0"/>
    <s v="كاش"/>
    <x v="0"/>
    <s v="عميل 276"/>
    <n v="3900"/>
    <n v="3900"/>
  </r>
  <r>
    <n v="10032"/>
    <s v="مؤمن"/>
    <d v="2026-07-09T00:00:00"/>
    <x v="5"/>
    <s v="إكسسوارات"/>
    <x v="7"/>
    <x v="18"/>
    <n v="6"/>
    <n v="1200"/>
    <n v="0"/>
    <s v="تحويل بنكي"/>
    <x v="1"/>
    <s v="عميل 225"/>
    <n v="7200"/>
    <n v="7200"/>
  </r>
  <r>
    <n v="10033"/>
    <s v="مصطفى"/>
    <d v="2026-06-03T00:00:00"/>
    <x v="8"/>
    <s v="إكسسوارات"/>
    <x v="7"/>
    <x v="19"/>
    <n v="9"/>
    <n v="1400"/>
    <n v="0"/>
    <s v="كاش"/>
    <x v="1"/>
    <s v="عميل 136"/>
    <n v="12600"/>
    <n v="12600"/>
  </r>
  <r>
    <n v="10034"/>
    <s v="حسن"/>
    <d v="2026-04-18T00:00:00"/>
    <x v="13"/>
    <s v="أجهزة كمبيوتر"/>
    <x v="0"/>
    <x v="16"/>
    <n v="5"/>
    <n v="28000"/>
    <n v="0.05"/>
    <s v="تحويل بنكي"/>
    <x v="1"/>
    <s v="عميل 136"/>
    <n v="140000"/>
    <n v="133000"/>
  </r>
  <r>
    <n v="10035"/>
    <s v="علي"/>
    <d v="2026-05-22T00:00:00"/>
    <x v="7"/>
    <s v="تخزين"/>
    <x v="4"/>
    <x v="20"/>
    <n v="1"/>
    <n v="3200"/>
    <n v="0"/>
    <s v="كاش"/>
    <x v="0"/>
    <s v="عميل 171"/>
    <n v="3200"/>
    <n v="3200"/>
  </r>
  <r>
    <n v="10036"/>
    <s v="كريم"/>
    <d v="2026-10-10T00:00:00"/>
    <x v="4"/>
    <s v="شبكات"/>
    <x v="5"/>
    <x v="21"/>
    <n v="3"/>
    <n v="150"/>
    <n v="0.15"/>
    <s v="محفظة إلكترونية"/>
    <x v="0"/>
    <s v="عميل 58"/>
    <n v="450"/>
    <n v="382.5"/>
  </r>
  <r>
    <n v="10037"/>
    <s v="مصطفى"/>
    <d v="2026-03-17T00:00:00"/>
    <x v="13"/>
    <s v="أجهزة كمبيوتر"/>
    <x v="5"/>
    <x v="9"/>
    <n v="6"/>
    <n v="28000"/>
    <n v="0.1"/>
    <s v="محفظة إلكترونية"/>
    <x v="1"/>
    <s v="عميل 22"/>
    <n v="168000"/>
    <n v="151200"/>
  </r>
  <r>
    <n v="10038"/>
    <s v="مؤمن"/>
    <d v="2026-12-08T00:00:00"/>
    <x v="14"/>
    <s v="إكسسوارات"/>
    <x v="3"/>
    <x v="4"/>
    <n v="6"/>
    <n v="450"/>
    <n v="0.03"/>
    <s v="كاش"/>
    <x v="2"/>
    <s v="عميل 287"/>
    <n v="2700"/>
    <n v="2619"/>
  </r>
  <r>
    <n v="10039"/>
    <s v="يوسف"/>
    <d v="2026-04-01T00:00:00"/>
    <x v="11"/>
    <s v="طابعات"/>
    <x v="6"/>
    <x v="22"/>
    <n v="3"/>
    <n v="6500"/>
    <n v="0.03"/>
    <s v="محفظة إلكترونية"/>
    <x v="0"/>
    <s v="عميل 92"/>
    <n v="19500"/>
    <n v="18915"/>
  </r>
  <r>
    <n v="10040"/>
    <s v="يوسف"/>
    <d v="2026-12-26T00:00:00"/>
    <x v="10"/>
    <s v="شبكات"/>
    <x v="3"/>
    <x v="17"/>
    <n v="4"/>
    <n v="2200"/>
    <n v="0.05"/>
    <s v="كاش"/>
    <x v="3"/>
    <s v="عميل 20"/>
    <n v="8800"/>
    <n v="8360"/>
  </r>
  <r>
    <n v="10041"/>
    <s v="محمود"/>
    <d v="2026-06-06T00:00:00"/>
    <x v="8"/>
    <s v="إكسسوارات"/>
    <x v="4"/>
    <x v="7"/>
    <n v="4"/>
    <n v="1400"/>
    <n v="7.0000000000000007E-2"/>
    <s v="فيزا"/>
    <x v="1"/>
    <s v="عميل 13"/>
    <n v="5600"/>
    <n v="5208"/>
  </r>
  <r>
    <n v="10042"/>
    <s v="محمد"/>
    <d v="2026-05-23T00:00:00"/>
    <x v="0"/>
    <s v="تخزين"/>
    <x v="2"/>
    <x v="2"/>
    <n v="6"/>
    <n v="650"/>
    <n v="0.05"/>
    <s v="تحويل بنكي"/>
    <x v="3"/>
    <s v="عميل 275"/>
    <n v="3900"/>
    <n v="3705"/>
  </r>
  <r>
    <n v="10043"/>
    <s v="حسن"/>
    <d v="2026-05-16T00:00:00"/>
    <x v="9"/>
    <s v="إكسسوارات"/>
    <x v="1"/>
    <x v="1"/>
    <n v="5"/>
    <n v="1800"/>
    <n v="0.03"/>
    <s v="كاش"/>
    <x v="0"/>
    <s v="عميل 223"/>
    <n v="9000"/>
    <n v="8730"/>
  </r>
  <r>
    <n v="10044"/>
    <s v="محمد"/>
    <d v="2026-07-17T00:00:00"/>
    <x v="9"/>
    <s v="إكسسوارات"/>
    <x v="3"/>
    <x v="17"/>
    <n v="10"/>
    <n v="1800"/>
    <n v="0.1"/>
    <s v="فيزا"/>
    <x v="2"/>
    <s v="عميل 23"/>
    <n v="18000"/>
    <n v="16200"/>
  </r>
  <r>
    <n v="10045"/>
    <s v="مؤمن"/>
    <d v="2026-07-06T00:00:00"/>
    <x v="10"/>
    <s v="شبكات"/>
    <x v="6"/>
    <x v="23"/>
    <n v="9"/>
    <n v="2200"/>
    <n v="0.1"/>
    <s v="محفظة إلكترونية"/>
    <x v="0"/>
    <s v="عميل 170"/>
    <n v="19800"/>
    <n v="17820"/>
  </r>
  <r>
    <n v="10046"/>
    <s v="عمر"/>
    <d v="2026-09-17T00:00:00"/>
    <x v="12"/>
    <s v="تخزين"/>
    <x v="3"/>
    <x v="24"/>
    <n v="2"/>
    <n v="5200"/>
    <n v="0.15"/>
    <s v="تحويل بنكي"/>
    <x v="3"/>
    <s v="عميل 168"/>
    <n v="10400"/>
    <n v="8840"/>
  </r>
  <r>
    <n v="10047"/>
    <s v="علي"/>
    <d v="2026-12-07T00:00:00"/>
    <x v="2"/>
    <s v="شاشات"/>
    <x v="7"/>
    <x v="19"/>
    <n v="3"/>
    <n v="7500"/>
    <n v="0.03"/>
    <s v="محفظة إلكترونية"/>
    <x v="1"/>
    <s v="عميل 292"/>
    <n v="22500"/>
    <n v="21825"/>
  </r>
  <r>
    <n v="10048"/>
    <s v="عمر"/>
    <d v="2026-04-18T00:00:00"/>
    <x v="14"/>
    <s v="إكسسوارات"/>
    <x v="6"/>
    <x v="22"/>
    <n v="1"/>
    <n v="450"/>
    <n v="0.05"/>
    <s v="محفظة إلكترونية"/>
    <x v="2"/>
    <s v="عميل 239"/>
    <n v="450"/>
    <n v="427.5"/>
  </r>
  <r>
    <n v="10049"/>
    <s v="كريم"/>
    <d v="2026-03-28T00:00:00"/>
    <x v="6"/>
    <s v="شاشات"/>
    <x v="4"/>
    <x v="11"/>
    <n v="4"/>
    <n v="9000"/>
    <n v="0.1"/>
    <s v="كاش"/>
    <x v="2"/>
    <s v="عميل 264"/>
    <n v="36000"/>
    <n v="32400"/>
  </r>
  <r>
    <n v="10050"/>
    <s v="عمر"/>
    <d v="2026-04-26T00:00:00"/>
    <x v="0"/>
    <s v="تخزين"/>
    <x v="3"/>
    <x v="4"/>
    <n v="4"/>
    <n v="650"/>
    <n v="0.15"/>
    <s v="فيزا"/>
    <x v="1"/>
    <s v="عميل 13"/>
    <n v="2600"/>
    <n v="2210"/>
  </r>
  <r>
    <n v="10051"/>
    <s v="كريم"/>
    <d v="2026-08-01T00:00:00"/>
    <x v="1"/>
    <s v="أجهزة كمبيوتر"/>
    <x v="2"/>
    <x v="2"/>
    <n v="10"/>
    <n v="25000"/>
    <n v="0"/>
    <s v="فيزا"/>
    <x v="3"/>
    <s v="عميل 254"/>
    <n v="250000"/>
    <n v="250000"/>
  </r>
  <r>
    <n v="10052"/>
    <s v="علي"/>
    <d v="2026-04-23T00:00:00"/>
    <x v="2"/>
    <s v="شاشات"/>
    <x v="2"/>
    <x v="5"/>
    <n v="1"/>
    <n v="7500"/>
    <n v="0"/>
    <s v="فيزا"/>
    <x v="3"/>
    <s v="عميل 26"/>
    <n v="7500"/>
    <n v="7500"/>
  </r>
  <r>
    <n v="10053"/>
    <s v="كريم"/>
    <d v="2026-12-08T00:00:00"/>
    <x v="7"/>
    <s v="تخزين"/>
    <x v="2"/>
    <x v="5"/>
    <n v="8"/>
    <n v="3200"/>
    <n v="0.03"/>
    <s v="تحويل بنكي"/>
    <x v="3"/>
    <s v="عميل 259"/>
    <n v="25600"/>
    <n v="24832"/>
  </r>
  <r>
    <n v="10054"/>
    <s v="عمر"/>
    <d v="2026-05-07T00:00:00"/>
    <x v="2"/>
    <s v="شاشات"/>
    <x v="4"/>
    <x v="7"/>
    <n v="8"/>
    <n v="7500"/>
    <n v="7.0000000000000007E-2"/>
    <s v="تحويل بنكي"/>
    <x v="3"/>
    <s v="عميل 123"/>
    <n v="60000"/>
    <n v="55799.999999999993"/>
  </r>
  <r>
    <n v="10055"/>
    <s v="عمر"/>
    <d v="2026-06-21T00:00:00"/>
    <x v="14"/>
    <s v="إكسسوارات"/>
    <x v="4"/>
    <x v="7"/>
    <n v="5"/>
    <n v="450"/>
    <n v="0.03"/>
    <s v="تحويل بنكي"/>
    <x v="0"/>
    <s v="عميل 71"/>
    <n v="2250"/>
    <n v="2182.5"/>
  </r>
  <r>
    <n v="10056"/>
    <s v="مؤمن"/>
    <d v="2026-02-02T00:00:00"/>
    <x v="3"/>
    <s v="أجهزة كمبيوتر"/>
    <x v="2"/>
    <x v="2"/>
    <n v="3"/>
    <n v="32000"/>
    <n v="0.15"/>
    <s v="محفظة إلكترونية"/>
    <x v="3"/>
    <s v="عميل 170"/>
    <n v="96000"/>
    <n v="81600"/>
  </r>
  <r>
    <n v="10057"/>
    <s v="علي"/>
    <d v="2026-07-19T00:00:00"/>
    <x v="7"/>
    <s v="تخزين"/>
    <x v="4"/>
    <x v="20"/>
    <n v="1"/>
    <n v="3200"/>
    <n v="0.03"/>
    <s v="كاش"/>
    <x v="3"/>
    <s v="عميل 245"/>
    <n v="3200"/>
    <n v="3104"/>
  </r>
  <r>
    <n v="10058"/>
    <s v="مصطفى"/>
    <d v="2026-10-07T00:00:00"/>
    <x v="1"/>
    <s v="أجهزة كمبيوتر"/>
    <x v="3"/>
    <x v="17"/>
    <n v="7"/>
    <n v="25000"/>
    <n v="7.0000000000000007E-2"/>
    <s v="فيزا"/>
    <x v="3"/>
    <s v="عميل 113"/>
    <n v="175000"/>
    <n v="162750"/>
  </r>
  <r>
    <n v="10059"/>
    <s v="محمود"/>
    <d v="2026-12-09T00:00:00"/>
    <x v="14"/>
    <s v="إكسسوارات"/>
    <x v="6"/>
    <x v="14"/>
    <n v="1"/>
    <n v="450"/>
    <n v="7.0000000000000007E-2"/>
    <s v="محفظة إلكترونية"/>
    <x v="1"/>
    <s v="عميل 240"/>
    <n v="450"/>
    <n v="418.5"/>
  </r>
  <r>
    <n v="10060"/>
    <s v="حسن"/>
    <d v="2026-12-06T00:00:00"/>
    <x v="11"/>
    <s v="طابعات"/>
    <x v="5"/>
    <x v="9"/>
    <n v="7"/>
    <n v="6500"/>
    <n v="0.1"/>
    <s v="كاش"/>
    <x v="0"/>
    <s v="عميل 220"/>
    <n v="45500"/>
    <n v="40950"/>
  </r>
  <r>
    <n v="10061"/>
    <s v="علي"/>
    <d v="2026-06-17T00:00:00"/>
    <x v="3"/>
    <s v="أجهزة كمبيوتر"/>
    <x v="4"/>
    <x v="7"/>
    <n v="1"/>
    <n v="32000"/>
    <n v="0.05"/>
    <s v="فيزا"/>
    <x v="3"/>
    <s v="عميل 168"/>
    <n v="32000"/>
    <n v="30400"/>
  </r>
  <r>
    <n v="10062"/>
    <s v="محمد"/>
    <d v="2026-08-29T00:00:00"/>
    <x v="9"/>
    <s v="إكسسوارات"/>
    <x v="6"/>
    <x v="14"/>
    <n v="7"/>
    <n v="1800"/>
    <n v="0.05"/>
    <s v="كاش"/>
    <x v="0"/>
    <s v="عميل 180"/>
    <n v="12600"/>
    <n v="11970"/>
  </r>
  <r>
    <n v="10063"/>
    <s v="مؤمن"/>
    <d v="2026-01-11T00:00:00"/>
    <x v="5"/>
    <s v="إكسسوارات"/>
    <x v="0"/>
    <x v="0"/>
    <n v="1"/>
    <n v="1200"/>
    <n v="0.03"/>
    <s v="فيزا"/>
    <x v="1"/>
    <s v="عميل 65"/>
    <n v="1200"/>
    <n v="1164"/>
  </r>
  <r>
    <n v="10064"/>
    <s v="عمر"/>
    <d v="2026-07-08T00:00:00"/>
    <x v="6"/>
    <s v="شاشات"/>
    <x v="0"/>
    <x v="16"/>
    <n v="8"/>
    <n v="9000"/>
    <n v="0.15"/>
    <s v="فيزا"/>
    <x v="0"/>
    <s v="عميل 84"/>
    <n v="72000"/>
    <n v="61200"/>
  </r>
  <r>
    <n v="10065"/>
    <s v="علي"/>
    <d v="2026-07-23T00:00:00"/>
    <x v="14"/>
    <s v="إكسسوارات"/>
    <x v="0"/>
    <x v="0"/>
    <n v="5"/>
    <n v="450"/>
    <n v="0.1"/>
    <s v="فيزا"/>
    <x v="0"/>
    <s v="عميل 125"/>
    <n v="2250"/>
    <n v="2025"/>
  </r>
  <r>
    <n v="10066"/>
    <s v="حسن"/>
    <d v="2026-01-22T00:00:00"/>
    <x v="13"/>
    <s v="أجهزة كمبيوتر"/>
    <x v="7"/>
    <x v="19"/>
    <n v="10"/>
    <n v="28000"/>
    <n v="0"/>
    <s v="تحويل بنكي"/>
    <x v="3"/>
    <s v="عميل 190"/>
    <n v="280000"/>
    <n v="280000"/>
  </r>
  <r>
    <n v="10067"/>
    <s v="محمد"/>
    <d v="2026-08-10T00:00:00"/>
    <x v="13"/>
    <s v="أجهزة كمبيوتر"/>
    <x v="3"/>
    <x v="4"/>
    <n v="7"/>
    <n v="28000"/>
    <n v="7.0000000000000007E-2"/>
    <s v="تحويل بنكي"/>
    <x v="3"/>
    <s v="عميل 79"/>
    <n v="196000"/>
    <n v="182280"/>
  </r>
  <r>
    <n v="10068"/>
    <s v="كريم"/>
    <d v="2026-08-27T00:00:00"/>
    <x v="2"/>
    <s v="شاشات"/>
    <x v="5"/>
    <x v="21"/>
    <n v="10"/>
    <n v="7500"/>
    <n v="0.1"/>
    <s v="محفظة إلكترونية"/>
    <x v="2"/>
    <s v="عميل 166"/>
    <n v="75000"/>
    <n v="67500"/>
  </r>
  <r>
    <n v="10069"/>
    <s v="مؤمن"/>
    <d v="2026-08-26T00:00:00"/>
    <x v="8"/>
    <s v="إكسسوارات"/>
    <x v="2"/>
    <x v="5"/>
    <n v="5"/>
    <n v="1400"/>
    <n v="7.0000000000000007E-2"/>
    <s v="محفظة إلكترونية"/>
    <x v="2"/>
    <s v="عميل 15"/>
    <n v="7000"/>
    <n v="6510"/>
  </r>
  <r>
    <n v="10070"/>
    <s v="محمود"/>
    <d v="2026-05-13T00:00:00"/>
    <x v="6"/>
    <s v="شاشات"/>
    <x v="3"/>
    <x v="4"/>
    <n v="8"/>
    <n v="9000"/>
    <n v="0.03"/>
    <s v="تحويل بنكي"/>
    <x v="2"/>
    <s v="عميل 142"/>
    <n v="72000"/>
    <n v="69840"/>
  </r>
  <r>
    <n v="10071"/>
    <s v="علي"/>
    <d v="2026-09-08T00:00:00"/>
    <x v="7"/>
    <s v="تخزين"/>
    <x v="1"/>
    <x v="10"/>
    <n v="2"/>
    <n v="3200"/>
    <n v="0.03"/>
    <s v="فيزا"/>
    <x v="3"/>
    <s v="عميل 252"/>
    <n v="6400"/>
    <n v="6208"/>
  </r>
  <r>
    <n v="10072"/>
    <s v="علي"/>
    <d v="2026-12-21T00:00:00"/>
    <x v="6"/>
    <s v="شاشات"/>
    <x v="1"/>
    <x v="1"/>
    <n v="5"/>
    <n v="9000"/>
    <n v="0.03"/>
    <s v="فيزا"/>
    <x v="2"/>
    <s v="عميل 298"/>
    <n v="45000"/>
    <n v="43650"/>
  </r>
  <r>
    <n v="10073"/>
    <s v="علي"/>
    <d v="2026-10-09T00:00:00"/>
    <x v="9"/>
    <s v="إكسسوارات"/>
    <x v="4"/>
    <x v="11"/>
    <n v="9"/>
    <n v="1800"/>
    <n v="0.05"/>
    <s v="تحويل بنكي"/>
    <x v="2"/>
    <s v="عميل 233"/>
    <n v="16200"/>
    <n v="15390"/>
  </r>
  <r>
    <n v="10074"/>
    <s v="مؤمن"/>
    <d v="2026-06-11T00:00:00"/>
    <x v="14"/>
    <s v="إكسسوارات"/>
    <x v="7"/>
    <x v="15"/>
    <n v="4"/>
    <n v="450"/>
    <n v="0"/>
    <s v="كاش"/>
    <x v="1"/>
    <s v="عميل 99"/>
    <n v="1800"/>
    <n v="1800"/>
  </r>
  <r>
    <n v="10075"/>
    <s v="حسن"/>
    <d v="2026-05-25T00:00:00"/>
    <x v="5"/>
    <s v="إكسسوارات"/>
    <x v="4"/>
    <x v="20"/>
    <n v="10"/>
    <n v="1200"/>
    <n v="0.1"/>
    <s v="كاش"/>
    <x v="1"/>
    <s v="عميل 152"/>
    <n v="12000"/>
    <n v="10800"/>
  </r>
  <r>
    <n v="10076"/>
    <s v="مصطفى"/>
    <d v="2026-03-06T00:00:00"/>
    <x v="5"/>
    <s v="إكسسوارات"/>
    <x v="3"/>
    <x v="4"/>
    <n v="5"/>
    <n v="1200"/>
    <n v="0"/>
    <s v="تحويل بنكي"/>
    <x v="0"/>
    <s v="عميل 28"/>
    <n v="6000"/>
    <n v="6000"/>
  </r>
  <r>
    <n v="10077"/>
    <s v="كريم"/>
    <d v="2026-02-22T00:00:00"/>
    <x v="7"/>
    <s v="تخزين"/>
    <x v="7"/>
    <x v="19"/>
    <n v="3"/>
    <n v="3200"/>
    <n v="0.15"/>
    <s v="كاش"/>
    <x v="2"/>
    <s v="عميل 241"/>
    <n v="9600"/>
    <n v="8160"/>
  </r>
  <r>
    <n v="10078"/>
    <s v="عمر"/>
    <d v="2026-09-02T00:00:00"/>
    <x v="6"/>
    <s v="شاشات"/>
    <x v="4"/>
    <x v="20"/>
    <n v="3"/>
    <n v="9000"/>
    <n v="0"/>
    <s v="كاش"/>
    <x v="0"/>
    <s v="عميل 206"/>
    <n v="27000"/>
    <n v="27000"/>
  </r>
  <r>
    <n v="10079"/>
    <s v="حسن"/>
    <d v="2026-06-05T00:00:00"/>
    <x v="6"/>
    <s v="شاشات"/>
    <x v="0"/>
    <x v="0"/>
    <n v="3"/>
    <n v="9000"/>
    <n v="0.03"/>
    <s v="كاش"/>
    <x v="1"/>
    <s v="عميل 61"/>
    <n v="27000"/>
    <n v="26190"/>
  </r>
  <r>
    <n v="10080"/>
    <s v="مؤمن"/>
    <d v="2026-09-25T00:00:00"/>
    <x v="7"/>
    <s v="تخزين"/>
    <x v="6"/>
    <x v="22"/>
    <n v="10"/>
    <n v="3200"/>
    <n v="0.1"/>
    <s v="محفظة إلكترونية"/>
    <x v="3"/>
    <s v="عميل 227"/>
    <n v="32000"/>
    <n v="28800"/>
  </r>
  <r>
    <n v="10081"/>
    <s v="أحمد"/>
    <d v="2026-11-09T00:00:00"/>
    <x v="14"/>
    <s v="إكسسوارات"/>
    <x v="6"/>
    <x v="14"/>
    <n v="10"/>
    <n v="450"/>
    <n v="0.1"/>
    <s v="كاش"/>
    <x v="1"/>
    <s v="عميل 109"/>
    <n v="4500"/>
    <n v="4050"/>
  </r>
  <r>
    <n v="10082"/>
    <s v="مصطفى"/>
    <d v="2026-02-08T00:00:00"/>
    <x v="14"/>
    <s v="إكسسوارات"/>
    <x v="0"/>
    <x v="16"/>
    <n v="4"/>
    <n v="450"/>
    <n v="0.03"/>
    <s v="فيزا"/>
    <x v="0"/>
    <s v="عميل 210"/>
    <n v="1800"/>
    <n v="1746"/>
  </r>
  <r>
    <n v="10083"/>
    <s v="عمر"/>
    <d v="2026-12-28T00:00:00"/>
    <x v="6"/>
    <s v="شاشات"/>
    <x v="4"/>
    <x v="20"/>
    <n v="1"/>
    <n v="9000"/>
    <n v="0.03"/>
    <s v="تحويل بنكي"/>
    <x v="3"/>
    <s v="عميل 37"/>
    <n v="9000"/>
    <n v="8730"/>
  </r>
  <r>
    <n v="10084"/>
    <s v="مؤمن"/>
    <d v="2026-08-06T00:00:00"/>
    <x v="0"/>
    <s v="تخزين"/>
    <x v="2"/>
    <x v="2"/>
    <n v="10"/>
    <n v="650"/>
    <n v="0.15"/>
    <s v="كاش"/>
    <x v="1"/>
    <s v="عميل 77"/>
    <n v="6500"/>
    <n v="5525"/>
  </r>
  <r>
    <n v="10085"/>
    <s v="يوسف"/>
    <d v="2026-06-07T00:00:00"/>
    <x v="11"/>
    <s v="طابعات"/>
    <x v="7"/>
    <x v="18"/>
    <n v="2"/>
    <n v="6500"/>
    <n v="0"/>
    <s v="تحويل بنكي"/>
    <x v="3"/>
    <s v="عميل 64"/>
    <n v="13000"/>
    <n v="13000"/>
  </r>
  <r>
    <n v="10086"/>
    <s v="مصطفى"/>
    <d v="2026-10-04T00:00:00"/>
    <x v="6"/>
    <s v="شاشات"/>
    <x v="7"/>
    <x v="19"/>
    <n v="7"/>
    <n v="9000"/>
    <n v="0.05"/>
    <s v="محفظة إلكترونية"/>
    <x v="3"/>
    <s v="عميل 42"/>
    <n v="63000"/>
    <n v="59850"/>
  </r>
  <r>
    <n v="10087"/>
    <s v="عمر"/>
    <d v="2026-01-14T00:00:00"/>
    <x v="12"/>
    <s v="تخزين"/>
    <x v="1"/>
    <x v="3"/>
    <n v="6"/>
    <n v="5200"/>
    <n v="0.1"/>
    <s v="كاش"/>
    <x v="1"/>
    <s v="عميل 295"/>
    <n v="31200"/>
    <n v="28080"/>
  </r>
  <r>
    <n v="10088"/>
    <s v="يوسف"/>
    <d v="2026-08-29T00:00:00"/>
    <x v="12"/>
    <s v="تخزين"/>
    <x v="1"/>
    <x v="6"/>
    <n v="10"/>
    <n v="5200"/>
    <n v="0"/>
    <s v="محفظة إلكترونية"/>
    <x v="2"/>
    <s v="عميل 93"/>
    <n v="52000"/>
    <n v="52000"/>
  </r>
  <r>
    <n v="10089"/>
    <s v="كريم"/>
    <d v="2026-06-28T00:00:00"/>
    <x v="12"/>
    <s v="تخزين"/>
    <x v="6"/>
    <x v="22"/>
    <n v="8"/>
    <n v="5200"/>
    <n v="0"/>
    <s v="محفظة إلكترونية"/>
    <x v="2"/>
    <s v="عميل 165"/>
    <n v="41600"/>
    <n v="41600"/>
  </r>
  <r>
    <n v="10090"/>
    <s v="كريم"/>
    <d v="2026-05-28T00:00:00"/>
    <x v="0"/>
    <s v="تخزين"/>
    <x v="0"/>
    <x v="16"/>
    <n v="6"/>
    <n v="650"/>
    <n v="7.0000000000000007E-2"/>
    <s v="محفظة إلكترونية"/>
    <x v="0"/>
    <s v="عميل 233"/>
    <n v="3900"/>
    <n v="3626.9999999999995"/>
  </r>
  <r>
    <n v="10091"/>
    <s v="علي"/>
    <d v="2026-09-21T00:00:00"/>
    <x v="13"/>
    <s v="أجهزة كمبيوتر"/>
    <x v="3"/>
    <x v="17"/>
    <n v="6"/>
    <n v="28000"/>
    <n v="0"/>
    <s v="كاش"/>
    <x v="3"/>
    <s v="عميل 212"/>
    <n v="168000"/>
    <n v="168000"/>
  </r>
  <r>
    <n v="10092"/>
    <s v="كريم"/>
    <d v="2026-11-17T00:00:00"/>
    <x v="1"/>
    <s v="أجهزة كمبيوتر"/>
    <x v="2"/>
    <x v="12"/>
    <n v="6"/>
    <n v="25000"/>
    <n v="0.1"/>
    <s v="محفظة إلكترونية"/>
    <x v="0"/>
    <s v="عميل 105"/>
    <n v="150000"/>
    <n v="135000"/>
  </r>
  <r>
    <n v="10093"/>
    <s v="كريم"/>
    <d v="2026-03-04T00:00:00"/>
    <x v="14"/>
    <s v="إكسسوارات"/>
    <x v="5"/>
    <x v="21"/>
    <n v="8"/>
    <n v="450"/>
    <n v="0.15"/>
    <s v="كاش"/>
    <x v="1"/>
    <s v="عميل 82"/>
    <n v="3600"/>
    <n v="3060"/>
  </r>
  <r>
    <n v="10094"/>
    <s v="محمد"/>
    <d v="2026-08-25T00:00:00"/>
    <x v="14"/>
    <s v="إكسسوارات"/>
    <x v="1"/>
    <x v="3"/>
    <n v="2"/>
    <n v="450"/>
    <n v="0.03"/>
    <s v="كاش"/>
    <x v="1"/>
    <s v="عميل 256"/>
    <n v="900"/>
    <n v="873"/>
  </r>
  <r>
    <n v="10095"/>
    <s v="كريم"/>
    <d v="2026-08-30T00:00:00"/>
    <x v="11"/>
    <s v="طابعات"/>
    <x v="7"/>
    <x v="19"/>
    <n v="5"/>
    <n v="6500"/>
    <n v="7.0000000000000007E-2"/>
    <s v="فيزا"/>
    <x v="3"/>
    <s v="عميل 283"/>
    <n v="32500"/>
    <n v="30224.999999999996"/>
  </r>
  <r>
    <n v="10096"/>
    <s v="يوسف"/>
    <d v="2026-02-05T00:00:00"/>
    <x v="3"/>
    <s v="أجهزة كمبيوتر"/>
    <x v="6"/>
    <x v="23"/>
    <n v="10"/>
    <n v="32000"/>
    <n v="0.1"/>
    <s v="تحويل بنكي"/>
    <x v="3"/>
    <s v="عميل 175"/>
    <n v="320000"/>
    <n v="288000"/>
  </r>
  <r>
    <n v="10097"/>
    <s v="عمر"/>
    <d v="2026-10-28T00:00:00"/>
    <x v="11"/>
    <s v="طابعات"/>
    <x v="7"/>
    <x v="18"/>
    <n v="5"/>
    <n v="6500"/>
    <n v="0.15"/>
    <s v="محفظة إلكترونية"/>
    <x v="1"/>
    <s v="عميل 229"/>
    <n v="32500"/>
    <n v="27625"/>
  </r>
  <r>
    <n v="10098"/>
    <s v="مصطفى"/>
    <d v="2026-07-13T00:00:00"/>
    <x v="7"/>
    <s v="تخزين"/>
    <x v="4"/>
    <x v="20"/>
    <n v="6"/>
    <n v="3200"/>
    <n v="0.1"/>
    <s v="محفظة إلكترونية"/>
    <x v="2"/>
    <s v="عميل 97"/>
    <n v="19200"/>
    <n v="17280"/>
  </r>
  <r>
    <n v="10099"/>
    <s v="علي"/>
    <d v="2026-01-23T00:00:00"/>
    <x v="10"/>
    <s v="شبكات"/>
    <x v="2"/>
    <x v="12"/>
    <n v="7"/>
    <n v="2200"/>
    <n v="0.03"/>
    <s v="تحويل بنكي"/>
    <x v="3"/>
    <s v="عميل 196"/>
    <n v="15400"/>
    <n v="14938"/>
  </r>
  <r>
    <n v="10100"/>
    <s v="مصطفى"/>
    <d v="2026-10-30T00:00:00"/>
    <x v="2"/>
    <s v="شاشات"/>
    <x v="5"/>
    <x v="8"/>
    <n v="1"/>
    <n v="7500"/>
    <n v="0.03"/>
    <s v="تحويل بنكي"/>
    <x v="0"/>
    <s v="عميل 226"/>
    <n v="7500"/>
    <n v="7275"/>
  </r>
  <r>
    <n v="10101"/>
    <s v="يوسف"/>
    <d v="2026-02-08T00:00:00"/>
    <x v="13"/>
    <s v="أجهزة كمبيوتر"/>
    <x v="4"/>
    <x v="7"/>
    <n v="3"/>
    <n v="28000"/>
    <n v="7.0000000000000007E-2"/>
    <s v="محفظة إلكترونية"/>
    <x v="2"/>
    <s v="عميل 174"/>
    <n v="84000"/>
    <n v="78120"/>
  </r>
  <r>
    <n v="10102"/>
    <s v="مصطفى"/>
    <d v="2026-07-14T00:00:00"/>
    <x v="12"/>
    <s v="تخزين"/>
    <x v="6"/>
    <x v="22"/>
    <n v="2"/>
    <n v="5200"/>
    <n v="0.05"/>
    <s v="تحويل بنكي"/>
    <x v="3"/>
    <s v="عميل 278"/>
    <n v="10400"/>
    <n v="9880"/>
  </r>
  <r>
    <n v="10103"/>
    <s v="محمد"/>
    <d v="2026-08-11T00:00:00"/>
    <x v="1"/>
    <s v="أجهزة كمبيوتر"/>
    <x v="0"/>
    <x v="16"/>
    <n v="5"/>
    <n v="25000"/>
    <n v="0.03"/>
    <s v="كاش"/>
    <x v="0"/>
    <s v="عميل 228"/>
    <n v="125000"/>
    <n v="121250"/>
  </r>
  <r>
    <n v="10104"/>
    <s v="أحمد"/>
    <d v="2026-05-31T00:00:00"/>
    <x v="3"/>
    <s v="أجهزة كمبيوتر"/>
    <x v="7"/>
    <x v="18"/>
    <n v="1"/>
    <n v="32000"/>
    <n v="0.05"/>
    <s v="تحويل بنكي"/>
    <x v="2"/>
    <s v="عميل 221"/>
    <n v="32000"/>
    <n v="30400"/>
  </r>
  <r>
    <n v="10105"/>
    <s v="يوسف"/>
    <d v="2026-03-29T00:00:00"/>
    <x v="3"/>
    <s v="أجهزة كمبيوتر"/>
    <x v="2"/>
    <x v="12"/>
    <n v="7"/>
    <n v="32000"/>
    <n v="0.1"/>
    <s v="فيزا"/>
    <x v="0"/>
    <s v="عميل 196"/>
    <n v="224000"/>
    <n v="201600"/>
  </r>
  <r>
    <n v="10106"/>
    <s v="مؤمن"/>
    <d v="2026-08-25T00:00:00"/>
    <x v="12"/>
    <s v="تخزين"/>
    <x v="2"/>
    <x v="2"/>
    <n v="10"/>
    <n v="5200"/>
    <n v="0.03"/>
    <s v="تحويل بنكي"/>
    <x v="3"/>
    <s v="عميل 131"/>
    <n v="52000"/>
    <n v="50440"/>
  </r>
  <r>
    <n v="10107"/>
    <s v="مصطفى"/>
    <d v="2026-03-22T00:00:00"/>
    <x v="0"/>
    <s v="تخزين"/>
    <x v="1"/>
    <x v="3"/>
    <n v="5"/>
    <n v="650"/>
    <n v="0.15"/>
    <s v="كاش"/>
    <x v="3"/>
    <s v="عميل 177"/>
    <n v="3250"/>
    <n v="2762.5"/>
  </r>
  <r>
    <n v="10108"/>
    <s v="عمر"/>
    <d v="2026-08-22T00:00:00"/>
    <x v="12"/>
    <s v="تخزين"/>
    <x v="7"/>
    <x v="19"/>
    <n v="7"/>
    <n v="5200"/>
    <n v="0.15"/>
    <s v="تحويل بنكي"/>
    <x v="1"/>
    <s v="عميل 197"/>
    <n v="36400"/>
    <n v="30940"/>
  </r>
  <r>
    <n v="10109"/>
    <s v="حسن"/>
    <d v="2026-07-03T00:00:00"/>
    <x v="8"/>
    <s v="إكسسوارات"/>
    <x v="4"/>
    <x v="7"/>
    <n v="4"/>
    <n v="1400"/>
    <n v="7.0000000000000007E-2"/>
    <s v="تحويل بنكي"/>
    <x v="2"/>
    <s v="عميل 12"/>
    <n v="5600"/>
    <n v="5208"/>
  </r>
  <r>
    <n v="10110"/>
    <s v="أحمد"/>
    <d v="2026-11-07T00:00:00"/>
    <x v="8"/>
    <s v="إكسسوارات"/>
    <x v="6"/>
    <x v="14"/>
    <n v="1"/>
    <n v="1400"/>
    <n v="0.1"/>
    <s v="محفظة إلكترونية"/>
    <x v="2"/>
    <s v="عميل 118"/>
    <n v="1400"/>
    <n v="1260"/>
  </r>
  <r>
    <n v="10111"/>
    <s v="عمر"/>
    <d v="2026-12-14T00:00:00"/>
    <x v="12"/>
    <s v="تخزين"/>
    <x v="3"/>
    <x v="4"/>
    <n v="4"/>
    <n v="5200"/>
    <n v="0.1"/>
    <s v="فيزا"/>
    <x v="0"/>
    <s v="عميل 21"/>
    <n v="20800"/>
    <n v="18720"/>
  </r>
  <r>
    <n v="10112"/>
    <s v="يوسف"/>
    <d v="2026-02-16T00:00:00"/>
    <x v="14"/>
    <s v="إكسسوارات"/>
    <x v="4"/>
    <x v="7"/>
    <n v="10"/>
    <n v="450"/>
    <n v="0.05"/>
    <s v="تحويل بنكي"/>
    <x v="2"/>
    <s v="عميل 213"/>
    <n v="4500"/>
    <n v="4275"/>
  </r>
  <r>
    <n v="10113"/>
    <s v="مصطفى"/>
    <d v="2026-09-14T00:00:00"/>
    <x v="3"/>
    <s v="أجهزة كمبيوتر"/>
    <x v="2"/>
    <x v="5"/>
    <n v="9"/>
    <n v="32000"/>
    <n v="0.05"/>
    <s v="تحويل بنكي"/>
    <x v="1"/>
    <s v="عميل 132"/>
    <n v="288000"/>
    <n v="273600"/>
  </r>
  <r>
    <n v="10114"/>
    <s v="كريم"/>
    <d v="2026-02-08T00:00:00"/>
    <x v="11"/>
    <s v="طابعات"/>
    <x v="4"/>
    <x v="20"/>
    <n v="6"/>
    <n v="6500"/>
    <n v="0"/>
    <s v="فيزا"/>
    <x v="1"/>
    <s v="عميل 204"/>
    <n v="39000"/>
    <n v="39000"/>
  </r>
  <r>
    <n v="10115"/>
    <s v="عمر"/>
    <d v="2026-10-02T00:00:00"/>
    <x v="8"/>
    <s v="إكسسوارات"/>
    <x v="3"/>
    <x v="4"/>
    <n v="7"/>
    <n v="1400"/>
    <n v="0"/>
    <s v="كاش"/>
    <x v="3"/>
    <s v="عميل 189"/>
    <n v="9800"/>
    <n v="9800"/>
  </r>
  <r>
    <n v="10116"/>
    <s v="محمود"/>
    <d v="2026-02-25T00:00:00"/>
    <x v="0"/>
    <s v="تخزين"/>
    <x v="7"/>
    <x v="19"/>
    <n v="7"/>
    <n v="650"/>
    <n v="0.15"/>
    <s v="فيزا"/>
    <x v="3"/>
    <s v="عميل 13"/>
    <n v="4550"/>
    <n v="3867.5"/>
  </r>
  <r>
    <n v="10117"/>
    <s v="محمد"/>
    <d v="2026-11-22T00:00:00"/>
    <x v="12"/>
    <s v="تخزين"/>
    <x v="3"/>
    <x v="24"/>
    <n v="4"/>
    <n v="5200"/>
    <n v="0.15"/>
    <s v="محفظة إلكترونية"/>
    <x v="2"/>
    <s v="عميل 210"/>
    <n v="20800"/>
    <n v="17680"/>
  </r>
  <r>
    <n v="10118"/>
    <s v="كريم"/>
    <d v="2026-03-01T00:00:00"/>
    <x v="13"/>
    <s v="أجهزة كمبيوتر"/>
    <x v="5"/>
    <x v="9"/>
    <n v="1"/>
    <n v="28000"/>
    <n v="0.05"/>
    <s v="كاش"/>
    <x v="1"/>
    <s v="عميل 276"/>
    <n v="28000"/>
    <n v="26600"/>
  </r>
  <r>
    <n v="10119"/>
    <s v="مصطفى"/>
    <d v="2026-08-03T00:00:00"/>
    <x v="3"/>
    <s v="أجهزة كمبيوتر"/>
    <x v="6"/>
    <x v="14"/>
    <n v="6"/>
    <n v="32000"/>
    <n v="0.15"/>
    <s v="فيزا"/>
    <x v="3"/>
    <s v="عميل 51"/>
    <n v="192000"/>
    <n v="163200"/>
  </r>
  <r>
    <n v="10120"/>
    <s v="أحمد"/>
    <d v="2026-12-20T00:00:00"/>
    <x v="8"/>
    <s v="إكسسوارات"/>
    <x v="4"/>
    <x v="11"/>
    <n v="7"/>
    <n v="1400"/>
    <n v="0.05"/>
    <s v="تحويل بنكي"/>
    <x v="1"/>
    <s v="عميل 228"/>
    <n v="9800"/>
    <n v="9310"/>
  </r>
  <r>
    <n v="10121"/>
    <s v="محمود"/>
    <d v="2026-10-06T00:00:00"/>
    <x v="6"/>
    <s v="شاشات"/>
    <x v="2"/>
    <x v="2"/>
    <n v="2"/>
    <n v="9000"/>
    <n v="0.15"/>
    <s v="تحويل بنكي"/>
    <x v="0"/>
    <s v="عميل 204"/>
    <n v="18000"/>
    <n v="15300"/>
  </r>
  <r>
    <n v="10122"/>
    <s v="مؤمن"/>
    <d v="2026-11-25T00:00:00"/>
    <x v="14"/>
    <s v="إكسسوارات"/>
    <x v="2"/>
    <x v="5"/>
    <n v="8"/>
    <n v="450"/>
    <n v="0"/>
    <s v="كاش"/>
    <x v="0"/>
    <s v="عميل 171"/>
    <n v="3600"/>
    <n v="3600"/>
  </r>
  <r>
    <n v="10123"/>
    <s v="مؤمن"/>
    <d v="2026-10-28T00:00:00"/>
    <x v="5"/>
    <s v="إكسسوارات"/>
    <x v="5"/>
    <x v="25"/>
    <n v="2"/>
    <n v="1200"/>
    <n v="0.1"/>
    <s v="فيزا"/>
    <x v="1"/>
    <s v="عميل 169"/>
    <n v="2400"/>
    <n v="2160"/>
  </r>
  <r>
    <n v="10124"/>
    <s v="يوسف"/>
    <d v="2026-10-04T00:00:00"/>
    <x v="4"/>
    <s v="شبكات"/>
    <x v="5"/>
    <x v="9"/>
    <n v="5"/>
    <n v="150"/>
    <n v="0.03"/>
    <s v="تحويل بنكي"/>
    <x v="1"/>
    <s v="عميل 57"/>
    <n v="750"/>
    <n v="727.5"/>
  </r>
  <r>
    <n v="10125"/>
    <s v="مؤمن"/>
    <d v="2026-10-29T00:00:00"/>
    <x v="0"/>
    <s v="تخزين"/>
    <x v="1"/>
    <x v="10"/>
    <n v="1"/>
    <n v="650"/>
    <n v="0.05"/>
    <s v="تحويل بنكي"/>
    <x v="0"/>
    <s v="عميل 90"/>
    <n v="650"/>
    <n v="617.5"/>
  </r>
  <r>
    <n v="10126"/>
    <s v="محمد"/>
    <d v="2026-02-02T00:00:00"/>
    <x v="14"/>
    <s v="إكسسوارات"/>
    <x v="1"/>
    <x v="10"/>
    <n v="7"/>
    <n v="450"/>
    <n v="0.1"/>
    <s v="محفظة إلكترونية"/>
    <x v="3"/>
    <s v="عميل 186"/>
    <n v="3150"/>
    <n v="2835"/>
  </r>
  <r>
    <n v="10127"/>
    <s v="حسن"/>
    <d v="2026-01-23T00:00:00"/>
    <x v="7"/>
    <s v="تخزين"/>
    <x v="0"/>
    <x v="26"/>
    <n v="9"/>
    <n v="3200"/>
    <n v="0.03"/>
    <s v="تحويل بنكي"/>
    <x v="3"/>
    <s v="عميل 16"/>
    <n v="28800"/>
    <n v="27936"/>
  </r>
  <r>
    <n v="10128"/>
    <s v="محمد"/>
    <d v="2026-09-09T00:00:00"/>
    <x v="1"/>
    <s v="أجهزة كمبيوتر"/>
    <x v="4"/>
    <x v="20"/>
    <n v="7"/>
    <n v="25000"/>
    <n v="0.15"/>
    <s v="محفظة إلكترونية"/>
    <x v="0"/>
    <s v="عميل 42"/>
    <n v="175000"/>
    <n v="148750"/>
  </r>
  <r>
    <n v="10129"/>
    <s v="حسن"/>
    <d v="2026-11-21T00:00:00"/>
    <x v="9"/>
    <s v="إكسسوارات"/>
    <x v="5"/>
    <x v="9"/>
    <n v="3"/>
    <n v="1800"/>
    <n v="0.05"/>
    <s v="تحويل بنكي"/>
    <x v="3"/>
    <s v="عميل 272"/>
    <n v="5400"/>
    <n v="5130"/>
  </r>
  <r>
    <n v="10130"/>
    <s v="محمد"/>
    <d v="2026-12-26T00:00:00"/>
    <x v="14"/>
    <s v="إكسسوارات"/>
    <x v="4"/>
    <x v="11"/>
    <n v="10"/>
    <n v="450"/>
    <n v="7.0000000000000007E-2"/>
    <s v="كاش"/>
    <x v="1"/>
    <s v="عميل 221"/>
    <n v="4500"/>
    <n v="4185"/>
  </r>
  <r>
    <n v="10131"/>
    <s v="علي"/>
    <d v="2026-08-01T00:00:00"/>
    <x v="6"/>
    <s v="شاشات"/>
    <x v="2"/>
    <x v="2"/>
    <n v="6"/>
    <n v="9000"/>
    <n v="7.0000000000000007E-2"/>
    <s v="كاش"/>
    <x v="2"/>
    <s v="عميل 219"/>
    <n v="54000"/>
    <n v="50220"/>
  </r>
  <r>
    <n v="10132"/>
    <s v="كريم"/>
    <d v="2026-02-04T00:00:00"/>
    <x v="9"/>
    <s v="إكسسوارات"/>
    <x v="7"/>
    <x v="15"/>
    <n v="3"/>
    <n v="1800"/>
    <n v="0.15"/>
    <s v="كاش"/>
    <x v="0"/>
    <s v="عميل 48"/>
    <n v="5400"/>
    <n v="4590"/>
  </r>
  <r>
    <n v="10133"/>
    <s v="أحمد"/>
    <d v="2026-10-28T00:00:00"/>
    <x v="2"/>
    <s v="شاشات"/>
    <x v="0"/>
    <x v="13"/>
    <n v="3"/>
    <n v="7500"/>
    <n v="0.1"/>
    <s v="تحويل بنكي"/>
    <x v="0"/>
    <s v="عميل 211"/>
    <n v="22500"/>
    <n v="20250"/>
  </r>
  <r>
    <n v="10134"/>
    <s v="حسن"/>
    <d v="2026-06-09T00:00:00"/>
    <x v="9"/>
    <s v="إكسسوارات"/>
    <x v="6"/>
    <x v="22"/>
    <n v="1"/>
    <n v="1800"/>
    <n v="0.05"/>
    <s v="تحويل بنكي"/>
    <x v="0"/>
    <s v="عميل 296"/>
    <n v="1800"/>
    <n v="1710"/>
  </r>
  <r>
    <n v="10135"/>
    <s v="محمد"/>
    <d v="2026-06-29T00:00:00"/>
    <x v="7"/>
    <s v="تخزين"/>
    <x v="2"/>
    <x v="5"/>
    <n v="8"/>
    <n v="3200"/>
    <n v="0.03"/>
    <s v="تحويل بنكي"/>
    <x v="0"/>
    <s v="عميل 143"/>
    <n v="25600"/>
    <n v="24832"/>
  </r>
  <r>
    <n v="10136"/>
    <s v="حسن"/>
    <d v="2026-12-12T00:00:00"/>
    <x v="12"/>
    <s v="تخزين"/>
    <x v="2"/>
    <x v="2"/>
    <n v="9"/>
    <n v="5200"/>
    <n v="0.1"/>
    <s v="كاش"/>
    <x v="2"/>
    <s v="عميل 15"/>
    <n v="46800"/>
    <n v="42120"/>
  </r>
  <r>
    <n v="10137"/>
    <s v="محمود"/>
    <d v="2026-01-04T00:00:00"/>
    <x v="3"/>
    <s v="أجهزة كمبيوتر"/>
    <x v="7"/>
    <x v="19"/>
    <n v="5"/>
    <n v="32000"/>
    <n v="0.05"/>
    <s v="فيزا"/>
    <x v="1"/>
    <s v="عميل 290"/>
    <n v="160000"/>
    <n v="152000"/>
  </r>
  <r>
    <n v="10138"/>
    <s v="أحمد"/>
    <d v="2026-02-16T00:00:00"/>
    <x v="0"/>
    <s v="تخزين"/>
    <x v="6"/>
    <x v="23"/>
    <n v="3"/>
    <n v="650"/>
    <n v="0.15"/>
    <s v="فيزا"/>
    <x v="3"/>
    <s v="عميل 215"/>
    <n v="1950"/>
    <n v="1657.5"/>
  </r>
  <r>
    <n v="10139"/>
    <s v="محمود"/>
    <d v="2026-10-18T00:00:00"/>
    <x v="6"/>
    <s v="شاشات"/>
    <x v="3"/>
    <x v="4"/>
    <n v="6"/>
    <n v="9000"/>
    <n v="0.05"/>
    <s v="كاش"/>
    <x v="0"/>
    <s v="عميل 80"/>
    <n v="54000"/>
    <n v="51300"/>
  </r>
  <r>
    <n v="10140"/>
    <s v="علي"/>
    <d v="2026-09-06T00:00:00"/>
    <x v="3"/>
    <s v="أجهزة كمبيوتر"/>
    <x v="1"/>
    <x v="1"/>
    <n v="5"/>
    <n v="32000"/>
    <n v="7.0000000000000007E-2"/>
    <s v="محفظة إلكترونية"/>
    <x v="3"/>
    <s v="عميل 140"/>
    <n v="160000"/>
    <n v="148800"/>
  </r>
  <r>
    <n v="10141"/>
    <s v="عمر"/>
    <d v="2026-12-14T00:00:00"/>
    <x v="5"/>
    <s v="إكسسوارات"/>
    <x v="0"/>
    <x v="13"/>
    <n v="7"/>
    <n v="1200"/>
    <n v="0"/>
    <s v="محفظة إلكترونية"/>
    <x v="2"/>
    <s v="عميل 24"/>
    <n v="8400"/>
    <n v="8400"/>
  </r>
  <r>
    <n v="10142"/>
    <s v="مؤمن"/>
    <d v="2026-06-04T00:00:00"/>
    <x v="5"/>
    <s v="إكسسوارات"/>
    <x v="6"/>
    <x v="22"/>
    <n v="1"/>
    <n v="1200"/>
    <n v="0"/>
    <s v="فيزا"/>
    <x v="1"/>
    <s v="عميل 131"/>
    <n v="1200"/>
    <n v="1200"/>
  </r>
  <r>
    <n v="10143"/>
    <s v="علي"/>
    <d v="2026-03-31T00:00:00"/>
    <x v="14"/>
    <s v="إكسسوارات"/>
    <x v="3"/>
    <x v="4"/>
    <n v="1"/>
    <n v="450"/>
    <n v="7.0000000000000007E-2"/>
    <s v="فيزا"/>
    <x v="3"/>
    <s v="عميل 273"/>
    <n v="450"/>
    <n v="418.5"/>
  </r>
  <r>
    <n v="10144"/>
    <s v="محمود"/>
    <d v="2026-02-06T00:00:00"/>
    <x v="10"/>
    <s v="شبكات"/>
    <x v="2"/>
    <x v="12"/>
    <n v="9"/>
    <n v="2200"/>
    <n v="0.15"/>
    <s v="محفظة إلكترونية"/>
    <x v="0"/>
    <s v="عميل 224"/>
    <n v="19800"/>
    <n v="16830"/>
  </r>
  <r>
    <n v="10145"/>
    <s v="علي"/>
    <d v="2026-10-21T00:00:00"/>
    <x v="1"/>
    <s v="أجهزة كمبيوتر"/>
    <x v="4"/>
    <x v="7"/>
    <n v="6"/>
    <n v="25000"/>
    <n v="0.1"/>
    <s v="محفظة إلكترونية"/>
    <x v="3"/>
    <s v="عميل 149"/>
    <n v="150000"/>
    <n v="135000"/>
  </r>
  <r>
    <n v="10146"/>
    <s v="حسن"/>
    <d v="2026-08-24T00:00:00"/>
    <x v="13"/>
    <s v="أجهزة كمبيوتر"/>
    <x v="6"/>
    <x v="23"/>
    <n v="6"/>
    <n v="28000"/>
    <n v="0.03"/>
    <s v="تحويل بنكي"/>
    <x v="0"/>
    <s v="عميل 224"/>
    <n v="168000"/>
    <n v="162960"/>
  </r>
  <r>
    <n v="10147"/>
    <s v="علي"/>
    <d v="2026-09-26T00:00:00"/>
    <x v="8"/>
    <s v="إكسسوارات"/>
    <x v="0"/>
    <x v="16"/>
    <n v="7"/>
    <n v="1400"/>
    <n v="0.1"/>
    <s v="كاش"/>
    <x v="3"/>
    <s v="عميل 159"/>
    <n v="9800"/>
    <n v="8820"/>
  </r>
  <r>
    <n v="10148"/>
    <s v="محمد"/>
    <d v="2026-09-19T00:00:00"/>
    <x v="10"/>
    <s v="شبكات"/>
    <x v="3"/>
    <x v="4"/>
    <n v="6"/>
    <n v="2200"/>
    <n v="0.03"/>
    <s v="كاش"/>
    <x v="1"/>
    <s v="عميل 179"/>
    <n v="13200"/>
    <n v="12804"/>
  </r>
  <r>
    <n v="10149"/>
    <s v="عمر"/>
    <d v="2026-04-12T00:00:00"/>
    <x v="9"/>
    <s v="إكسسوارات"/>
    <x v="5"/>
    <x v="25"/>
    <n v="2"/>
    <n v="1800"/>
    <n v="0.03"/>
    <s v="فيزا"/>
    <x v="1"/>
    <s v="عميل 39"/>
    <n v="3600"/>
    <n v="3492"/>
  </r>
  <r>
    <n v="10150"/>
    <s v="كريم"/>
    <d v="2026-12-15T00:00:00"/>
    <x v="3"/>
    <s v="أجهزة كمبيوتر"/>
    <x v="4"/>
    <x v="20"/>
    <n v="10"/>
    <n v="32000"/>
    <n v="0.1"/>
    <s v="تحويل بنكي"/>
    <x v="2"/>
    <s v="عميل 78"/>
    <n v="320000"/>
    <n v="288000"/>
  </r>
  <r>
    <n v="10151"/>
    <s v="عمر"/>
    <d v="2026-05-21T00:00:00"/>
    <x v="6"/>
    <s v="شاشات"/>
    <x v="0"/>
    <x v="26"/>
    <n v="8"/>
    <n v="9000"/>
    <n v="0.15"/>
    <s v="كاش"/>
    <x v="2"/>
    <s v="عميل 260"/>
    <n v="72000"/>
    <n v="61200"/>
  </r>
  <r>
    <n v="10152"/>
    <s v="أحمد"/>
    <d v="2026-07-08T00:00:00"/>
    <x v="13"/>
    <s v="أجهزة كمبيوتر"/>
    <x v="7"/>
    <x v="15"/>
    <n v="8"/>
    <n v="28000"/>
    <n v="0"/>
    <s v="تحويل بنكي"/>
    <x v="0"/>
    <s v="عميل 47"/>
    <n v="224000"/>
    <n v="224000"/>
  </r>
  <r>
    <n v="10153"/>
    <s v="أحمد"/>
    <d v="2026-08-19T00:00:00"/>
    <x v="12"/>
    <s v="تخزين"/>
    <x v="6"/>
    <x v="14"/>
    <n v="10"/>
    <n v="5200"/>
    <n v="0.1"/>
    <s v="فيزا"/>
    <x v="2"/>
    <s v="عميل 244"/>
    <n v="52000"/>
    <n v="46800"/>
  </r>
  <r>
    <n v="10154"/>
    <s v="محمود"/>
    <d v="2026-02-13T00:00:00"/>
    <x v="7"/>
    <s v="تخزين"/>
    <x v="5"/>
    <x v="9"/>
    <n v="8"/>
    <n v="3200"/>
    <n v="0"/>
    <s v="فيزا"/>
    <x v="0"/>
    <s v="عميل 127"/>
    <n v="25600"/>
    <n v="25600"/>
  </r>
  <r>
    <n v="10155"/>
    <s v="حسن"/>
    <d v="2026-03-23T00:00:00"/>
    <x v="10"/>
    <s v="شبكات"/>
    <x v="4"/>
    <x v="20"/>
    <n v="9"/>
    <n v="2200"/>
    <n v="0.1"/>
    <s v="تحويل بنكي"/>
    <x v="2"/>
    <s v="عميل 145"/>
    <n v="19800"/>
    <n v="17820"/>
  </r>
  <r>
    <n v="10156"/>
    <s v="محمود"/>
    <d v="2026-02-03T00:00:00"/>
    <x v="2"/>
    <s v="شاشات"/>
    <x v="6"/>
    <x v="14"/>
    <n v="10"/>
    <n v="7500"/>
    <n v="0"/>
    <s v="تحويل بنكي"/>
    <x v="0"/>
    <s v="عميل 286"/>
    <n v="75000"/>
    <n v="75000"/>
  </r>
  <r>
    <n v="10157"/>
    <s v="حسن"/>
    <d v="2026-03-18T00:00:00"/>
    <x v="0"/>
    <s v="تخزين"/>
    <x v="6"/>
    <x v="14"/>
    <n v="5"/>
    <n v="650"/>
    <n v="0.15"/>
    <s v="تحويل بنكي"/>
    <x v="0"/>
    <s v="عميل 299"/>
    <n v="3250"/>
    <n v="2762.5"/>
  </r>
  <r>
    <n v="10158"/>
    <s v="علي"/>
    <d v="2026-03-08T00:00:00"/>
    <x v="0"/>
    <s v="تخزين"/>
    <x v="5"/>
    <x v="21"/>
    <n v="5"/>
    <n v="650"/>
    <n v="0.15"/>
    <s v="كاش"/>
    <x v="2"/>
    <s v="عميل 287"/>
    <n v="3250"/>
    <n v="2762.5"/>
  </r>
  <r>
    <n v="10159"/>
    <s v="علي"/>
    <d v="2026-09-18T00:00:00"/>
    <x v="2"/>
    <s v="شاشات"/>
    <x v="3"/>
    <x v="4"/>
    <n v="9"/>
    <n v="7500"/>
    <n v="0"/>
    <s v="تحويل بنكي"/>
    <x v="0"/>
    <s v="عميل 186"/>
    <n v="67500"/>
    <n v="67500"/>
  </r>
  <r>
    <n v="10160"/>
    <s v="مؤمن"/>
    <d v="2026-04-26T00:00:00"/>
    <x v="14"/>
    <s v="إكسسوارات"/>
    <x v="5"/>
    <x v="25"/>
    <n v="6"/>
    <n v="450"/>
    <n v="7.0000000000000007E-2"/>
    <s v="فيزا"/>
    <x v="1"/>
    <s v="عميل 40"/>
    <n v="2700"/>
    <n v="2511"/>
  </r>
  <r>
    <n v="10161"/>
    <s v="يوسف"/>
    <d v="2026-11-02T00:00:00"/>
    <x v="14"/>
    <s v="إكسسوارات"/>
    <x v="0"/>
    <x v="0"/>
    <n v="6"/>
    <n v="450"/>
    <n v="0.1"/>
    <s v="محفظة إلكترونية"/>
    <x v="1"/>
    <s v="عميل 84"/>
    <n v="2700"/>
    <n v="2430"/>
  </r>
  <r>
    <n v="10162"/>
    <s v="محمود"/>
    <d v="2026-12-13T00:00:00"/>
    <x v="3"/>
    <s v="أجهزة كمبيوتر"/>
    <x v="5"/>
    <x v="8"/>
    <n v="1"/>
    <n v="32000"/>
    <n v="7.0000000000000007E-2"/>
    <s v="فيزا"/>
    <x v="3"/>
    <s v="عميل 146"/>
    <n v="32000"/>
    <n v="29759.999999999996"/>
  </r>
  <r>
    <n v="10163"/>
    <s v="عمر"/>
    <d v="2026-08-29T00:00:00"/>
    <x v="4"/>
    <s v="شبكات"/>
    <x v="4"/>
    <x v="7"/>
    <n v="9"/>
    <n v="150"/>
    <n v="0.03"/>
    <s v="فيزا"/>
    <x v="2"/>
    <s v="عميل 293"/>
    <n v="1350"/>
    <n v="1309.5"/>
  </r>
  <r>
    <n v="10164"/>
    <s v="مصطفى"/>
    <d v="2026-08-03T00:00:00"/>
    <x v="6"/>
    <s v="شاشات"/>
    <x v="4"/>
    <x v="20"/>
    <n v="7"/>
    <n v="9000"/>
    <n v="0.1"/>
    <s v="فيزا"/>
    <x v="1"/>
    <s v="عميل 71"/>
    <n v="63000"/>
    <n v="56700"/>
  </r>
  <r>
    <n v="10165"/>
    <s v="مصطفى"/>
    <d v="2026-02-22T00:00:00"/>
    <x v="8"/>
    <s v="إكسسوارات"/>
    <x v="7"/>
    <x v="18"/>
    <n v="8"/>
    <n v="1400"/>
    <n v="0.05"/>
    <s v="كاش"/>
    <x v="2"/>
    <s v="عميل 43"/>
    <n v="11200"/>
    <n v="10640"/>
  </r>
  <r>
    <n v="10166"/>
    <s v="يوسف"/>
    <d v="2026-08-12T00:00:00"/>
    <x v="4"/>
    <s v="شبكات"/>
    <x v="5"/>
    <x v="21"/>
    <n v="8"/>
    <n v="150"/>
    <n v="0.1"/>
    <s v="كاش"/>
    <x v="1"/>
    <s v="عميل 231"/>
    <n v="1200"/>
    <n v="1080"/>
  </r>
  <r>
    <n v="10167"/>
    <s v="علي"/>
    <d v="2026-09-15T00:00:00"/>
    <x v="11"/>
    <s v="طابعات"/>
    <x v="3"/>
    <x v="4"/>
    <n v="7"/>
    <n v="6500"/>
    <n v="0"/>
    <s v="تحويل بنكي"/>
    <x v="1"/>
    <s v="عميل 198"/>
    <n v="45500"/>
    <n v="45500"/>
  </r>
  <r>
    <n v="10168"/>
    <s v="محمد"/>
    <d v="2026-11-29T00:00:00"/>
    <x v="13"/>
    <s v="أجهزة كمبيوتر"/>
    <x v="3"/>
    <x v="4"/>
    <n v="1"/>
    <n v="28000"/>
    <n v="0.05"/>
    <s v="تحويل بنكي"/>
    <x v="1"/>
    <s v="عميل 71"/>
    <n v="28000"/>
    <n v="26600"/>
  </r>
  <r>
    <n v="10169"/>
    <s v="كريم"/>
    <d v="2026-08-18T00:00:00"/>
    <x v="1"/>
    <s v="أجهزة كمبيوتر"/>
    <x v="7"/>
    <x v="15"/>
    <n v="3"/>
    <n v="25000"/>
    <n v="0.15"/>
    <s v="كاش"/>
    <x v="0"/>
    <s v="عميل 10"/>
    <n v="75000"/>
    <n v="63750"/>
  </r>
  <r>
    <n v="10170"/>
    <s v="حسن"/>
    <d v="2026-09-28T00:00:00"/>
    <x v="14"/>
    <s v="إكسسوارات"/>
    <x v="2"/>
    <x v="5"/>
    <n v="9"/>
    <n v="450"/>
    <n v="0.15"/>
    <s v="محفظة إلكترونية"/>
    <x v="0"/>
    <s v="عميل 148"/>
    <n v="4050"/>
    <n v="3442.5"/>
  </r>
  <r>
    <n v="10171"/>
    <s v="علي"/>
    <d v="2026-11-24T00:00:00"/>
    <x v="5"/>
    <s v="إكسسوارات"/>
    <x v="7"/>
    <x v="18"/>
    <n v="1"/>
    <n v="1200"/>
    <n v="0.03"/>
    <s v="محفظة إلكترونية"/>
    <x v="0"/>
    <s v="عميل 57"/>
    <n v="1200"/>
    <n v="1164"/>
  </r>
  <r>
    <n v="10172"/>
    <s v="مصطفى"/>
    <d v="2026-10-22T00:00:00"/>
    <x v="8"/>
    <s v="إكسسوارات"/>
    <x v="4"/>
    <x v="11"/>
    <n v="9"/>
    <n v="1400"/>
    <n v="0"/>
    <s v="فيزا"/>
    <x v="1"/>
    <s v="عميل 150"/>
    <n v="12600"/>
    <n v="12600"/>
  </r>
  <r>
    <n v="10173"/>
    <s v="علي"/>
    <d v="2026-04-06T00:00:00"/>
    <x v="2"/>
    <s v="شاشات"/>
    <x v="1"/>
    <x v="6"/>
    <n v="4"/>
    <n v="7500"/>
    <n v="0.1"/>
    <s v="كاش"/>
    <x v="2"/>
    <s v="عميل 35"/>
    <n v="30000"/>
    <n v="27000"/>
  </r>
  <r>
    <n v="10174"/>
    <s v="علي"/>
    <d v="2026-07-11T00:00:00"/>
    <x v="7"/>
    <s v="تخزين"/>
    <x v="1"/>
    <x v="3"/>
    <n v="8"/>
    <n v="3200"/>
    <n v="0"/>
    <s v="تحويل بنكي"/>
    <x v="0"/>
    <s v="عميل 183"/>
    <n v="25600"/>
    <n v="25600"/>
  </r>
  <r>
    <n v="10175"/>
    <s v="محمد"/>
    <d v="2026-10-25T00:00:00"/>
    <x v="4"/>
    <s v="شبكات"/>
    <x v="0"/>
    <x v="13"/>
    <n v="4"/>
    <n v="150"/>
    <n v="0.15"/>
    <s v="تحويل بنكي"/>
    <x v="1"/>
    <s v="عميل 23"/>
    <n v="600"/>
    <n v="510"/>
  </r>
  <r>
    <n v="10176"/>
    <s v="كريم"/>
    <d v="2026-12-23T00:00:00"/>
    <x v="9"/>
    <s v="إكسسوارات"/>
    <x v="3"/>
    <x v="24"/>
    <n v="3"/>
    <n v="1800"/>
    <n v="0.15"/>
    <s v="محفظة إلكترونية"/>
    <x v="1"/>
    <s v="عميل 70"/>
    <n v="5400"/>
    <n v="4590"/>
  </r>
  <r>
    <n v="10177"/>
    <s v="أحمد"/>
    <d v="2026-04-13T00:00:00"/>
    <x v="13"/>
    <s v="أجهزة كمبيوتر"/>
    <x v="4"/>
    <x v="7"/>
    <n v="5"/>
    <n v="28000"/>
    <n v="0.03"/>
    <s v="كاش"/>
    <x v="2"/>
    <s v="عميل 159"/>
    <n v="140000"/>
    <n v="135800"/>
  </r>
  <r>
    <n v="10178"/>
    <s v="أحمد"/>
    <d v="2026-11-28T00:00:00"/>
    <x v="7"/>
    <s v="تخزين"/>
    <x v="6"/>
    <x v="22"/>
    <n v="8"/>
    <n v="3200"/>
    <n v="0.05"/>
    <s v="فيزا"/>
    <x v="2"/>
    <s v="عميل 183"/>
    <n v="25600"/>
    <n v="24320"/>
  </r>
  <r>
    <n v="10179"/>
    <s v="محمود"/>
    <d v="2026-08-12T00:00:00"/>
    <x v="8"/>
    <s v="إكسسوارات"/>
    <x v="1"/>
    <x v="6"/>
    <n v="5"/>
    <n v="1400"/>
    <n v="0"/>
    <s v="محفظة إلكترونية"/>
    <x v="3"/>
    <s v="عميل 198"/>
    <n v="7000"/>
    <n v="7000"/>
  </r>
  <r>
    <n v="10180"/>
    <s v="مصطفى"/>
    <d v="2026-05-17T00:00:00"/>
    <x v="9"/>
    <s v="إكسسوارات"/>
    <x v="5"/>
    <x v="8"/>
    <n v="8"/>
    <n v="1800"/>
    <n v="0.05"/>
    <s v="كاش"/>
    <x v="3"/>
    <s v="عميل 41"/>
    <n v="14400"/>
    <n v="13680"/>
  </r>
  <r>
    <n v="10181"/>
    <s v="محمد"/>
    <d v="2026-06-17T00:00:00"/>
    <x v="2"/>
    <s v="شاشات"/>
    <x v="5"/>
    <x v="21"/>
    <n v="6"/>
    <n v="7500"/>
    <n v="0"/>
    <s v="تحويل بنكي"/>
    <x v="2"/>
    <s v="عميل 229"/>
    <n v="45000"/>
    <n v="45000"/>
  </r>
  <r>
    <n v="10182"/>
    <s v="كريم"/>
    <d v="2026-01-22T00:00:00"/>
    <x v="12"/>
    <s v="تخزين"/>
    <x v="6"/>
    <x v="23"/>
    <n v="8"/>
    <n v="5200"/>
    <n v="0.05"/>
    <s v="تحويل بنكي"/>
    <x v="3"/>
    <s v="عميل 141"/>
    <n v="41600"/>
    <n v="39520"/>
  </r>
  <r>
    <n v="10183"/>
    <s v="مصطفى"/>
    <d v="2026-12-14T00:00:00"/>
    <x v="0"/>
    <s v="تخزين"/>
    <x v="1"/>
    <x v="1"/>
    <n v="7"/>
    <n v="650"/>
    <n v="0.05"/>
    <s v="فيزا"/>
    <x v="0"/>
    <s v="عميل 74"/>
    <n v="4550"/>
    <n v="4322.5"/>
  </r>
  <r>
    <n v="10184"/>
    <s v="مؤمن"/>
    <d v="2026-11-27T00:00:00"/>
    <x v="8"/>
    <s v="إكسسوارات"/>
    <x v="4"/>
    <x v="7"/>
    <n v="3"/>
    <n v="1400"/>
    <n v="0"/>
    <s v="تحويل بنكي"/>
    <x v="2"/>
    <s v="عميل 197"/>
    <n v="4200"/>
    <n v="4200"/>
  </r>
  <r>
    <n v="10185"/>
    <s v="محمود"/>
    <d v="2026-08-16T00:00:00"/>
    <x v="12"/>
    <s v="تخزين"/>
    <x v="1"/>
    <x v="10"/>
    <n v="8"/>
    <n v="5200"/>
    <n v="0.05"/>
    <s v="كاش"/>
    <x v="1"/>
    <s v="عميل 272"/>
    <n v="41600"/>
    <n v="39520"/>
  </r>
  <r>
    <n v="10186"/>
    <s v="محمد"/>
    <d v="2026-01-14T00:00:00"/>
    <x v="9"/>
    <s v="إكسسوارات"/>
    <x v="6"/>
    <x v="14"/>
    <n v="5"/>
    <n v="1800"/>
    <n v="0.03"/>
    <s v="فيزا"/>
    <x v="3"/>
    <s v="عميل 266"/>
    <n v="9000"/>
    <n v="8730"/>
  </r>
  <r>
    <n v="10187"/>
    <s v="كريم"/>
    <d v="2026-04-20T00:00:00"/>
    <x v="2"/>
    <s v="شاشات"/>
    <x v="0"/>
    <x v="13"/>
    <n v="5"/>
    <n v="7500"/>
    <n v="0.15"/>
    <s v="تحويل بنكي"/>
    <x v="3"/>
    <s v="عميل 103"/>
    <n v="37500"/>
    <n v="31875"/>
  </r>
  <r>
    <n v="10188"/>
    <s v="كريم"/>
    <d v="2026-02-14T00:00:00"/>
    <x v="13"/>
    <s v="أجهزة كمبيوتر"/>
    <x v="5"/>
    <x v="9"/>
    <n v="8"/>
    <n v="28000"/>
    <n v="0.03"/>
    <s v="تحويل بنكي"/>
    <x v="2"/>
    <s v="عميل 34"/>
    <n v="224000"/>
    <n v="217280"/>
  </r>
  <r>
    <n v="10189"/>
    <s v="يوسف"/>
    <d v="2026-07-05T00:00:00"/>
    <x v="7"/>
    <s v="تخزين"/>
    <x v="7"/>
    <x v="15"/>
    <n v="3"/>
    <n v="3200"/>
    <n v="0.15"/>
    <s v="فيزا"/>
    <x v="0"/>
    <s v="عميل 103"/>
    <n v="9600"/>
    <n v="8160"/>
  </r>
  <r>
    <n v="10190"/>
    <s v="محمود"/>
    <d v="2026-10-11T00:00:00"/>
    <x v="4"/>
    <s v="شبكات"/>
    <x v="5"/>
    <x v="25"/>
    <n v="8"/>
    <n v="150"/>
    <n v="0"/>
    <s v="تحويل بنكي"/>
    <x v="3"/>
    <s v="عميل 283"/>
    <n v="1200"/>
    <n v="1200"/>
  </r>
  <r>
    <n v="10191"/>
    <s v="كريم"/>
    <d v="2026-09-27T00:00:00"/>
    <x v="3"/>
    <s v="أجهزة كمبيوتر"/>
    <x v="0"/>
    <x v="0"/>
    <n v="5"/>
    <n v="32000"/>
    <n v="7.0000000000000007E-2"/>
    <s v="محفظة إلكترونية"/>
    <x v="3"/>
    <s v="عميل 295"/>
    <n v="160000"/>
    <n v="148800"/>
  </r>
  <r>
    <n v="10192"/>
    <s v="كريم"/>
    <d v="2026-12-15T00:00:00"/>
    <x v="13"/>
    <s v="أجهزة كمبيوتر"/>
    <x v="5"/>
    <x v="21"/>
    <n v="2"/>
    <n v="28000"/>
    <n v="7.0000000000000007E-2"/>
    <s v="تحويل بنكي"/>
    <x v="1"/>
    <s v="عميل 283"/>
    <n v="56000"/>
    <n v="52080"/>
  </r>
  <r>
    <n v="10193"/>
    <s v="أحمد"/>
    <d v="2026-03-05T00:00:00"/>
    <x v="0"/>
    <s v="تخزين"/>
    <x v="5"/>
    <x v="25"/>
    <n v="7"/>
    <n v="650"/>
    <n v="0.1"/>
    <s v="فيزا"/>
    <x v="2"/>
    <s v="عميل 85"/>
    <n v="4550"/>
    <n v="4095"/>
  </r>
  <r>
    <n v="10194"/>
    <s v="مصطفى"/>
    <d v="2026-05-26T00:00:00"/>
    <x v="3"/>
    <s v="أجهزة كمبيوتر"/>
    <x v="3"/>
    <x v="24"/>
    <n v="4"/>
    <n v="32000"/>
    <n v="0.05"/>
    <s v="كاش"/>
    <x v="2"/>
    <s v="عميل 101"/>
    <n v="128000"/>
    <n v="121600"/>
  </r>
  <r>
    <n v="10195"/>
    <s v="مصطفى"/>
    <d v="2026-02-17T00:00:00"/>
    <x v="0"/>
    <s v="تخزين"/>
    <x v="7"/>
    <x v="18"/>
    <n v="5"/>
    <n v="650"/>
    <n v="0.1"/>
    <s v="فيزا"/>
    <x v="1"/>
    <s v="عميل 88"/>
    <n v="3250"/>
    <n v="2925"/>
  </r>
  <r>
    <n v="10196"/>
    <s v="محمد"/>
    <d v="2026-01-24T00:00:00"/>
    <x v="0"/>
    <s v="تخزين"/>
    <x v="3"/>
    <x v="24"/>
    <n v="1"/>
    <n v="650"/>
    <n v="0"/>
    <s v="تحويل بنكي"/>
    <x v="1"/>
    <s v="عميل 293"/>
    <n v="650"/>
    <n v="650"/>
  </r>
  <r>
    <n v="10197"/>
    <s v="عمر"/>
    <d v="2026-09-05T00:00:00"/>
    <x v="2"/>
    <s v="شاشات"/>
    <x v="1"/>
    <x v="3"/>
    <n v="9"/>
    <n v="7500"/>
    <n v="0.05"/>
    <s v="فيزا"/>
    <x v="3"/>
    <s v="عميل 153"/>
    <n v="67500"/>
    <n v="64125"/>
  </r>
  <r>
    <n v="10198"/>
    <s v="علي"/>
    <d v="2026-09-05T00:00:00"/>
    <x v="6"/>
    <s v="شاشات"/>
    <x v="0"/>
    <x v="0"/>
    <n v="3"/>
    <n v="9000"/>
    <n v="7.0000000000000007E-2"/>
    <s v="محفظة إلكترونية"/>
    <x v="1"/>
    <s v="عميل 175"/>
    <n v="27000"/>
    <n v="25110"/>
  </r>
  <r>
    <n v="10199"/>
    <s v="محمود"/>
    <d v="2026-07-24T00:00:00"/>
    <x v="12"/>
    <s v="تخزين"/>
    <x v="5"/>
    <x v="21"/>
    <n v="6"/>
    <n v="5200"/>
    <n v="0.15"/>
    <s v="فيزا"/>
    <x v="2"/>
    <s v="عميل 264"/>
    <n v="31200"/>
    <n v="26520"/>
  </r>
  <r>
    <n v="10200"/>
    <s v="محمد"/>
    <d v="2026-05-17T00:00:00"/>
    <x v="7"/>
    <s v="تخزين"/>
    <x v="0"/>
    <x v="13"/>
    <n v="4"/>
    <n v="3200"/>
    <n v="7.0000000000000007E-2"/>
    <s v="محفظة إلكترونية"/>
    <x v="1"/>
    <s v="عميل 73"/>
    <n v="12800"/>
    <n v="11904"/>
  </r>
  <r>
    <n v="10201"/>
    <s v="علي"/>
    <d v="2026-05-08T00:00:00"/>
    <x v="13"/>
    <s v="أجهزة كمبيوتر"/>
    <x v="1"/>
    <x v="6"/>
    <n v="7"/>
    <n v="28000"/>
    <n v="0.1"/>
    <s v="فيزا"/>
    <x v="2"/>
    <s v="عميل 296"/>
    <n v="196000"/>
    <n v="176400"/>
  </r>
  <r>
    <n v="10202"/>
    <s v="مصطفى"/>
    <d v="2026-08-28T00:00:00"/>
    <x v="10"/>
    <s v="شبكات"/>
    <x v="3"/>
    <x v="4"/>
    <n v="3"/>
    <n v="2200"/>
    <n v="7.0000000000000007E-2"/>
    <s v="محفظة إلكترونية"/>
    <x v="2"/>
    <s v="عميل 255"/>
    <n v="6600"/>
    <n v="6138"/>
  </r>
  <r>
    <n v="10203"/>
    <s v="مؤمن"/>
    <d v="2026-04-21T00:00:00"/>
    <x v="1"/>
    <s v="أجهزة كمبيوتر"/>
    <x v="0"/>
    <x v="26"/>
    <n v="9"/>
    <n v="25000"/>
    <n v="7.0000000000000007E-2"/>
    <s v="تحويل بنكي"/>
    <x v="0"/>
    <s v="عميل 26"/>
    <n v="225000"/>
    <n v="209250"/>
  </r>
  <r>
    <n v="10204"/>
    <s v="مصطفى"/>
    <d v="2026-01-05T00:00:00"/>
    <x v="14"/>
    <s v="إكسسوارات"/>
    <x v="4"/>
    <x v="11"/>
    <n v="8"/>
    <n v="450"/>
    <n v="0.05"/>
    <s v="كاش"/>
    <x v="3"/>
    <s v="عميل 69"/>
    <n v="3600"/>
    <n v="3420"/>
  </r>
  <r>
    <n v="10205"/>
    <s v="محمود"/>
    <d v="2026-01-24T00:00:00"/>
    <x v="11"/>
    <s v="طابعات"/>
    <x v="7"/>
    <x v="19"/>
    <n v="6"/>
    <n v="6500"/>
    <n v="7.0000000000000007E-2"/>
    <s v="محفظة إلكترونية"/>
    <x v="0"/>
    <s v="عميل 292"/>
    <n v="39000"/>
    <n v="36270"/>
  </r>
  <r>
    <n v="10206"/>
    <s v="محمد"/>
    <d v="2026-07-17T00:00:00"/>
    <x v="7"/>
    <s v="تخزين"/>
    <x v="2"/>
    <x v="2"/>
    <n v="9"/>
    <n v="3200"/>
    <n v="0.05"/>
    <s v="محفظة إلكترونية"/>
    <x v="2"/>
    <s v="عميل 61"/>
    <n v="28800"/>
    <n v="27360"/>
  </r>
  <r>
    <n v="10207"/>
    <s v="مصطفى"/>
    <d v="2026-07-07T00:00:00"/>
    <x v="3"/>
    <s v="أجهزة كمبيوتر"/>
    <x v="0"/>
    <x v="26"/>
    <n v="6"/>
    <n v="32000"/>
    <n v="0.05"/>
    <s v="فيزا"/>
    <x v="1"/>
    <s v="عميل 261"/>
    <n v="192000"/>
    <n v="182400"/>
  </r>
  <r>
    <n v="10208"/>
    <s v="محمود"/>
    <d v="2026-08-31T00:00:00"/>
    <x v="2"/>
    <s v="شاشات"/>
    <x v="1"/>
    <x v="1"/>
    <n v="1"/>
    <n v="7500"/>
    <n v="0.03"/>
    <s v="محفظة إلكترونية"/>
    <x v="1"/>
    <s v="عميل 264"/>
    <n v="7500"/>
    <n v="7275"/>
  </r>
  <r>
    <n v="10209"/>
    <s v="علي"/>
    <d v="2026-11-12T00:00:00"/>
    <x v="3"/>
    <s v="أجهزة كمبيوتر"/>
    <x v="3"/>
    <x v="24"/>
    <n v="6"/>
    <n v="32000"/>
    <n v="0.03"/>
    <s v="تحويل بنكي"/>
    <x v="2"/>
    <s v="عميل 260"/>
    <n v="192000"/>
    <n v="186240"/>
  </r>
  <r>
    <n v="10210"/>
    <s v="كريم"/>
    <d v="2026-01-09T00:00:00"/>
    <x v="8"/>
    <s v="إكسسوارات"/>
    <x v="4"/>
    <x v="11"/>
    <n v="10"/>
    <n v="1400"/>
    <n v="0.05"/>
    <s v="تحويل بنكي"/>
    <x v="2"/>
    <s v="عميل 57"/>
    <n v="14000"/>
    <n v="13300"/>
  </r>
  <r>
    <n v="10211"/>
    <s v="كريم"/>
    <d v="2026-05-16T00:00:00"/>
    <x v="2"/>
    <s v="شاشات"/>
    <x v="7"/>
    <x v="19"/>
    <n v="1"/>
    <n v="7500"/>
    <n v="0.1"/>
    <s v="فيزا"/>
    <x v="0"/>
    <s v="عميل 299"/>
    <n v="7500"/>
    <n v="6750"/>
  </r>
  <r>
    <n v="10212"/>
    <s v="مؤمن"/>
    <d v="2026-01-17T00:00:00"/>
    <x v="6"/>
    <s v="شاشات"/>
    <x v="5"/>
    <x v="8"/>
    <n v="3"/>
    <n v="9000"/>
    <n v="0.15"/>
    <s v="كاش"/>
    <x v="1"/>
    <s v="عميل 10"/>
    <n v="27000"/>
    <n v="22950"/>
  </r>
  <r>
    <n v="10213"/>
    <s v="مؤمن"/>
    <d v="2026-07-30T00:00:00"/>
    <x v="6"/>
    <s v="شاشات"/>
    <x v="3"/>
    <x v="17"/>
    <n v="3"/>
    <n v="9000"/>
    <n v="7.0000000000000007E-2"/>
    <s v="محفظة إلكترونية"/>
    <x v="0"/>
    <s v="عميل 71"/>
    <n v="27000"/>
    <n v="25110"/>
  </r>
  <r>
    <n v="10214"/>
    <s v="كريم"/>
    <d v="2026-09-27T00:00:00"/>
    <x v="7"/>
    <s v="تخزين"/>
    <x v="2"/>
    <x v="12"/>
    <n v="6"/>
    <n v="3200"/>
    <n v="0.15"/>
    <s v="محفظة إلكترونية"/>
    <x v="2"/>
    <s v="عميل 89"/>
    <n v="19200"/>
    <n v="16320"/>
  </r>
  <r>
    <n v="10215"/>
    <s v="عمر"/>
    <d v="2026-11-09T00:00:00"/>
    <x v="6"/>
    <s v="شاشات"/>
    <x v="3"/>
    <x v="24"/>
    <n v="6"/>
    <n v="9000"/>
    <n v="0.15"/>
    <s v="محفظة إلكترونية"/>
    <x v="1"/>
    <s v="عميل 127"/>
    <n v="54000"/>
    <n v="45900"/>
  </r>
  <r>
    <n v="10216"/>
    <s v="مؤمن"/>
    <d v="2026-12-20T00:00:00"/>
    <x v="14"/>
    <s v="إكسسوارات"/>
    <x v="7"/>
    <x v="18"/>
    <n v="5"/>
    <n v="450"/>
    <n v="0.05"/>
    <s v="محفظة إلكترونية"/>
    <x v="2"/>
    <s v="عميل 246"/>
    <n v="2250"/>
    <n v="2137.5"/>
  </r>
  <r>
    <n v="10217"/>
    <s v="مصطفى"/>
    <d v="2026-07-14T00:00:00"/>
    <x v="9"/>
    <s v="إكسسوارات"/>
    <x v="7"/>
    <x v="15"/>
    <n v="2"/>
    <n v="1800"/>
    <n v="0.1"/>
    <s v="محفظة إلكترونية"/>
    <x v="2"/>
    <s v="عميل 75"/>
    <n v="3600"/>
    <n v="3240"/>
  </r>
  <r>
    <n v="10218"/>
    <s v="كريم"/>
    <d v="2026-12-02T00:00:00"/>
    <x v="14"/>
    <s v="إكسسوارات"/>
    <x v="1"/>
    <x v="6"/>
    <n v="2"/>
    <n v="450"/>
    <n v="0.05"/>
    <s v="تحويل بنكي"/>
    <x v="3"/>
    <s v="عميل 110"/>
    <n v="900"/>
    <n v="855"/>
  </r>
  <r>
    <n v="10219"/>
    <s v="محمد"/>
    <d v="2026-11-12T00:00:00"/>
    <x v="5"/>
    <s v="إكسسوارات"/>
    <x v="7"/>
    <x v="19"/>
    <n v="5"/>
    <n v="1200"/>
    <n v="0.03"/>
    <s v="فيزا"/>
    <x v="1"/>
    <s v="عميل 26"/>
    <n v="6000"/>
    <n v="5820"/>
  </r>
  <r>
    <n v="10220"/>
    <s v="محمد"/>
    <d v="2026-07-31T00:00:00"/>
    <x v="0"/>
    <s v="تخزين"/>
    <x v="2"/>
    <x v="12"/>
    <n v="4"/>
    <n v="650"/>
    <n v="0"/>
    <s v="تحويل بنكي"/>
    <x v="3"/>
    <s v="عميل 52"/>
    <n v="2600"/>
    <n v="2600"/>
  </r>
  <r>
    <n v="10221"/>
    <s v="علي"/>
    <d v="2026-12-01T00:00:00"/>
    <x v="0"/>
    <s v="تخزين"/>
    <x v="5"/>
    <x v="9"/>
    <n v="9"/>
    <n v="650"/>
    <n v="0.03"/>
    <s v="محفظة إلكترونية"/>
    <x v="3"/>
    <s v="عميل 103"/>
    <n v="5850"/>
    <n v="5674.5"/>
  </r>
  <r>
    <n v="10222"/>
    <s v="أحمد"/>
    <d v="2026-02-15T00:00:00"/>
    <x v="4"/>
    <s v="شبكات"/>
    <x v="7"/>
    <x v="15"/>
    <n v="5"/>
    <n v="150"/>
    <n v="0.15"/>
    <s v="فيزا"/>
    <x v="0"/>
    <s v="عميل 90"/>
    <n v="750"/>
    <n v="637.5"/>
  </r>
  <r>
    <n v="10223"/>
    <s v="يوسف"/>
    <d v="2026-05-29T00:00:00"/>
    <x v="2"/>
    <s v="شاشات"/>
    <x v="5"/>
    <x v="9"/>
    <n v="7"/>
    <n v="7500"/>
    <n v="7.0000000000000007E-2"/>
    <s v="كاش"/>
    <x v="0"/>
    <s v="عميل 153"/>
    <n v="52500"/>
    <n v="48825"/>
  </r>
  <r>
    <n v="10224"/>
    <s v="مصطفى"/>
    <d v="2026-09-26T00:00:00"/>
    <x v="12"/>
    <s v="تخزين"/>
    <x v="0"/>
    <x v="13"/>
    <n v="5"/>
    <n v="5200"/>
    <n v="7.0000000000000007E-2"/>
    <s v="محفظة إلكترونية"/>
    <x v="1"/>
    <s v="عميل 259"/>
    <n v="26000"/>
    <n v="24180"/>
  </r>
  <r>
    <n v="10225"/>
    <s v="يوسف"/>
    <d v="2026-08-23T00:00:00"/>
    <x v="6"/>
    <s v="شاشات"/>
    <x v="7"/>
    <x v="18"/>
    <n v="2"/>
    <n v="9000"/>
    <n v="0.05"/>
    <s v="تحويل بنكي"/>
    <x v="1"/>
    <s v="عميل 8"/>
    <n v="18000"/>
    <n v="17100"/>
  </r>
  <r>
    <n v="10226"/>
    <s v="مؤمن"/>
    <d v="2026-03-31T00:00:00"/>
    <x v="10"/>
    <s v="شبكات"/>
    <x v="3"/>
    <x v="17"/>
    <n v="10"/>
    <n v="2200"/>
    <n v="0.15"/>
    <s v="محفظة إلكترونية"/>
    <x v="3"/>
    <s v="عميل 264"/>
    <n v="22000"/>
    <n v="18700"/>
  </r>
  <r>
    <n v="10227"/>
    <s v="يوسف"/>
    <d v="2026-09-02T00:00:00"/>
    <x v="9"/>
    <s v="إكسسوارات"/>
    <x v="0"/>
    <x v="26"/>
    <n v="2"/>
    <n v="1800"/>
    <n v="0.03"/>
    <s v="تحويل بنكي"/>
    <x v="1"/>
    <s v="عميل 4"/>
    <n v="3600"/>
    <n v="3492"/>
  </r>
  <r>
    <n v="10228"/>
    <s v="محمود"/>
    <d v="2026-06-04T00:00:00"/>
    <x v="14"/>
    <s v="إكسسوارات"/>
    <x v="6"/>
    <x v="23"/>
    <n v="8"/>
    <n v="450"/>
    <n v="0.05"/>
    <s v="كاش"/>
    <x v="2"/>
    <s v="عميل 185"/>
    <n v="3600"/>
    <n v="3420"/>
  </r>
  <r>
    <n v="10229"/>
    <s v="عمر"/>
    <d v="2026-03-23T00:00:00"/>
    <x v="10"/>
    <s v="شبكات"/>
    <x v="2"/>
    <x v="5"/>
    <n v="2"/>
    <n v="2200"/>
    <n v="7.0000000000000007E-2"/>
    <s v="محفظة إلكترونية"/>
    <x v="2"/>
    <s v="عميل 61"/>
    <n v="4400"/>
    <n v="4091.9999999999995"/>
  </r>
  <r>
    <n v="10230"/>
    <s v="مؤمن"/>
    <d v="2026-03-10T00:00:00"/>
    <x v="0"/>
    <s v="تخزين"/>
    <x v="7"/>
    <x v="15"/>
    <n v="10"/>
    <n v="650"/>
    <n v="0.03"/>
    <s v="محفظة إلكترونية"/>
    <x v="1"/>
    <s v="عميل 233"/>
    <n v="6500"/>
    <n v="6305"/>
  </r>
  <r>
    <n v="10231"/>
    <s v="مصطفى"/>
    <d v="2026-12-07T00:00:00"/>
    <x v="10"/>
    <s v="شبكات"/>
    <x v="3"/>
    <x v="17"/>
    <n v="9"/>
    <n v="2200"/>
    <n v="7.0000000000000007E-2"/>
    <s v="فيزا"/>
    <x v="1"/>
    <s v="عميل 42"/>
    <n v="19800"/>
    <n v="18414"/>
  </r>
  <r>
    <n v="10232"/>
    <s v="حسن"/>
    <d v="2026-02-27T00:00:00"/>
    <x v="7"/>
    <s v="تخزين"/>
    <x v="4"/>
    <x v="11"/>
    <n v="6"/>
    <n v="3200"/>
    <n v="0"/>
    <s v="كاش"/>
    <x v="1"/>
    <s v="عميل 294"/>
    <n v="19200"/>
    <n v="19200"/>
  </r>
  <r>
    <n v="10233"/>
    <s v="كريم"/>
    <d v="2026-03-01T00:00:00"/>
    <x v="7"/>
    <s v="تخزين"/>
    <x v="5"/>
    <x v="25"/>
    <n v="6"/>
    <n v="3200"/>
    <n v="0.1"/>
    <s v="فيزا"/>
    <x v="3"/>
    <s v="عميل 47"/>
    <n v="19200"/>
    <n v="17280"/>
  </r>
  <r>
    <n v="10234"/>
    <s v="مصطفى"/>
    <d v="2026-08-01T00:00:00"/>
    <x v="11"/>
    <s v="طابعات"/>
    <x v="4"/>
    <x v="7"/>
    <n v="8"/>
    <n v="6500"/>
    <n v="0.03"/>
    <s v="محفظة إلكترونية"/>
    <x v="0"/>
    <s v="عميل 287"/>
    <n v="52000"/>
    <n v="50440"/>
  </r>
  <r>
    <n v="10235"/>
    <s v="عمر"/>
    <d v="2026-01-02T00:00:00"/>
    <x v="6"/>
    <s v="شاشات"/>
    <x v="7"/>
    <x v="19"/>
    <n v="1"/>
    <n v="9000"/>
    <n v="7.0000000000000007E-2"/>
    <s v="فيزا"/>
    <x v="0"/>
    <s v="عميل 24"/>
    <n v="9000"/>
    <n v="8370"/>
  </r>
  <r>
    <n v="10236"/>
    <s v="أحمد"/>
    <d v="2026-02-05T00:00:00"/>
    <x v="2"/>
    <s v="شاشات"/>
    <x v="3"/>
    <x v="24"/>
    <n v="2"/>
    <n v="7500"/>
    <n v="0.1"/>
    <s v="محفظة إلكترونية"/>
    <x v="0"/>
    <s v="عميل 147"/>
    <n v="15000"/>
    <n v="13500"/>
  </r>
  <r>
    <n v="10237"/>
    <s v="علي"/>
    <d v="2026-08-18T00:00:00"/>
    <x v="2"/>
    <s v="شاشات"/>
    <x v="5"/>
    <x v="25"/>
    <n v="7"/>
    <n v="7500"/>
    <n v="0.05"/>
    <s v="محفظة إلكترونية"/>
    <x v="3"/>
    <s v="عميل 42"/>
    <n v="52500"/>
    <n v="49875"/>
  </r>
  <r>
    <n v="10238"/>
    <s v="مصطفى"/>
    <d v="2026-07-21T00:00:00"/>
    <x v="0"/>
    <s v="تخزين"/>
    <x v="5"/>
    <x v="21"/>
    <n v="2"/>
    <n v="650"/>
    <n v="0.03"/>
    <s v="فيزا"/>
    <x v="1"/>
    <s v="عميل 2"/>
    <n v="1300"/>
    <n v="1261"/>
  </r>
  <r>
    <n v="10239"/>
    <s v="مصطفى"/>
    <d v="2026-08-06T00:00:00"/>
    <x v="4"/>
    <s v="شبكات"/>
    <x v="1"/>
    <x v="6"/>
    <n v="8"/>
    <n v="150"/>
    <n v="0.15"/>
    <s v="محفظة إلكترونية"/>
    <x v="1"/>
    <s v="عميل 127"/>
    <n v="1200"/>
    <n v="1020"/>
  </r>
  <r>
    <n v="10240"/>
    <s v="محمد"/>
    <d v="2026-01-17T00:00:00"/>
    <x v="6"/>
    <s v="شاشات"/>
    <x v="3"/>
    <x v="4"/>
    <n v="5"/>
    <n v="9000"/>
    <n v="0.03"/>
    <s v="محفظة إلكترونية"/>
    <x v="0"/>
    <s v="عميل 124"/>
    <n v="45000"/>
    <n v="43650"/>
  </r>
  <r>
    <n v="10241"/>
    <s v="كريم"/>
    <d v="2026-11-03T00:00:00"/>
    <x v="5"/>
    <s v="إكسسوارات"/>
    <x v="0"/>
    <x v="0"/>
    <n v="10"/>
    <n v="1200"/>
    <n v="0"/>
    <s v="كاش"/>
    <x v="1"/>
    <s v="عميل 23"/>
    <n v="12000"/>
    <n v="12000"/>
  </r>
  <r>
    <n v="10242"/>
    <s v="أحمد"/>
    <d v="2026-03-13T00:00:00"/>
    <x v="2"/>
    <s v="شاشات"/>
    <x v="4"/>
    <x v="7"/>
    <n v="9"/>
    <n v="7500"/>
    <n v="0.03"/>
    <s v="تحويل بنكي"/>
    <x v="1"/>
    <s v="عميل 295"/>
    <n v="67500"/>
    <n v="65475"/>
  </r>
  <r>
    <n v="10243"/>
    <s v="مصطفى"/>
    <d v="2026-04-24T00:00:00"/>
    <x v="9"/>
    <s v="إكسسوارات"/>
    <x v="3"/>
    <x v="4"/>
    <n v="5"/>
    <n v="1800"/>
    <n v="0.03"/>
    <s v="محفظة إلكترونية"/>
    <x v="2"/>
    <s v="عميل 141"/>
    <n v="9000"/>
    <n v="8730"/>
  </r>
  <r>
    <n v="10244"/>
    <s v="أحمد"/>
    <d v="2026-06-26T00:00:00"/>
    <x v="1"/>
    <s v="أجهزة كمبيوتر"/>
    <x v="5"/>
    <x v="8"/>
    <n v="9"/>
    <n v="25000"/>
    <n v="7.0000000000000007E-2"/>
    <s v="محفظة إلكترونية"/>
    <x v="2"/>
    <s v="عميل 214"/>
    <n v="225000"/>
    <n v="209250"/>
  </r>
  <r>
    <n v="10245"/>
    <s v="مصطفى"/>
    <d v="2026-08-31T00:00:00"/>
    <x v="2"/>
    <s v="شاشات"/>
    <x v="5"/>
    <x v="21"/>
    <n v="7"/>
    <n v="7500"/>
    <n v="0.03"/>
    <s v="فيزا"/>
    <x v="1"/>
    <s v="عميل 154"/>
    <n v="52500"/>
    <n v="50925"/>
  </r>
  <r>
    <n v="10246"/>
    <s v="علي"/>
    <d v="2026-08-02T00:00:00"/>
    <x v="8"/>
    <s v="إكسسوارات"/>
    <x v="5"/>
    <x v="8"/>
    <n v="1"/>
    <n v="1400"/>
    <n v="0.1"/>
    <s v="فيزا"/>
    <x v="3"/>
    <s v="عميل 125"/>
    <n v="1400"/>
    <n v="1260"/>
  </r>
  <r>
    <n v="10247"/>
    <s v="محمود"/>
    <d v="2026-02-17T00:00:00"/>
    <x v="14"/>
    <s v="إكسسوارات"/>
    <x v="2"/>
    <x v="2"/>
    <n v="2"/>
    <n v="450"/>
    <n v="7.0000000000000007E-2"/>
    <s v="فيزا"/>
    <x v="0"/>
    <s v="عميل 138"/>
    <n v="900"/>
    <n v="837"/>
  </r>
  <r>
    <n v="10248"/>
    <s v="مصطفى"/>
    <d v="2026-04-22T00:00:00"/>
    <x v="2"/>
    <s v="شاشات"/>
    <x v="1"/>
    <x v="1"/>
    <n v="4"/>
    <n v="7500"/>
    <n v="0.1"/>
    <s v="محفظة إلكترونية"/>
    <x v="1"/>
    <s v="عميل 171"/>
    <n v="30000"/>
    <n v="27000"/>
  </r>
  <r>
    <n v="10249"/>
    <s v="محمد"/>
    <d v="2026-09-03T00:00:00"/>
    <x v="14"/>
    <s v="إكسسوارات"/>
    <x v="1"/>
    <x v="10"/>
    <n v="4"/>
    <n v="450"/>
    <n v="0.15"/>
    <s v="فيزا"/>
    <x v="1"/>
    <s v="عميل 204"/>
    <n v="1800"/>
    <n v="1530"/>
  </r>
  <r>
    <n v="10250"/>
    <s v="علي"/>
    <d v="2026-08-27T00:00:00"/>
    <x v="11"/>
    <s v="طابعات"/>
    <x v="2"/>
    <x v="12"/>
    <n v="6"/>
    <n v="6500"/>
    <n v="0.05"/>
    <s v="تحويل بنكي"/>
    <x v="2"/>
    <s v="عميل 134"/>
    <n v="39000"/>
    <n v="37050"/>
  </r>
  <r>
    <n v="10251"/>
    <s v="كريم"/>
    <d v="2026-06-13T00:00:00"/>
    <x v="9"/>
    <s v="إكسسوارات"/>
    <x v="4"/>
    <x v="20"/>
    <n v="2"/>
    <n v="1800"/>
    <n v="0.15"/>
    <s v="فيزا"/>
    <x v="2"/>
    <s v="عميل 161"/>
    <n v="3600"/>
    <n v="3060"/>
  </r>
  <r>
    <n v="10252"/>
    <s v="عمر"/>
    <d v="2026-10-11T00:00:00"/>
    <x v="2"/>
    <s v="شاشات"/>
    <x v="1"/>
    <x v="10"/>
    <n v="3"/>
    <n v="7500"/>
    <n v="0"/>
    <s v="محفظة إلكترونية"/>
    <x v="2"/>
    <s v="عميل 79"/>
    <n v="22500"/>
    <n v="22500"/>
  </r>
  <r>
    <n v="10253"/>
    <s v="مؤمن"/>
    <d v="2026-09-13T00:00:00"/>
    <x v="5"/>
    <s v="إكسسوارات"/>
    <x v="3"/>
    <x v="4"/>
    <n v="7"/>
    <n v="1200"/>
    <n v="0.1"/>
    <s v="تحويل بنكي"/>
    <x v="2"/>
    <s v="عميل 251"/>
    <n v="8400"/>
    <n v="7560"/>
  </r>
  <r>
    <n v="10254"/>
    <s v="محمود"/>
    <d v="2026-03-28T00:00:00"/>
    <x v="10"/>
    <s v="شبكات"/>
    <x v="4"/>
    <x v="20"/>
    <n v="3"/>
    <n v="2200"/>
    <n v="0.15"/>
    <s v="فيزا"/>
    <x v="3"/>
    <s v="عميل 95"/>
    <n v="6600"/>
    <n v="5610"/>
  </r>
  <r>
    <n v="10255"/>
    <s v="أحمد"/>
    <d v="2026-01-04T00:00:00"/>
    <x v="11"/>
    <s v="طابعات"/>
    <x v="1"/>
    <x v="1"/>
    <n v="2"/>
    <n v="6500"/>
    <n v="0.15"/>
    <s v="محفظة إلكترونية"/>
    <x v="1"/>
    <s v="عميل 119"/>
    <n v="13000"/>
    <n v="11050"/>
  </r>
  <r>
    <n v="10256"/>
    <s v="كريم"/>
    <d v="2026-07-11T00:00:00"/>
    <x v="13"/>
    <s v="أجهزة كمبيوتر"/>
    <x v="5"/>
    <x v="9"/>
    <n v="4"/>
    <n v="28000"/>
    <n v="0.1"/>
    <s v="كاش"/>
    <x v="3"/>
    <s v="عميل 250"/>
    <n v="112000"/>
    <n v="100800"/>
  </r>
  <r>
    <n v="10257"/>
    <s v="مصطفى"/>
    <d v="2026-05-21T00:00:00"/>
    <x v="1"/>
    <s v="أجهزة كمبيوتر"/>
    <x v="1"/>
    <x v="3"/>
    <n v="1"/>
    <n v="25000"/>
    <n v="0"/>
    <s v="تحويل بنكي"/>
    <x v="0"/>
    <s v="عميل 258"/>
    <n v="25000"/>
    <n v="25000"/>
  </r>
  <r>
    <n v="10258"/>
    <s v="مصطفى"/>
    <d v="2026-03-18T00:00:00"/>
    <x v="8"/>
    <s v="إكسسوارات"/>
    <x v="6"/>
    <x v="23"/>
    <n v="2"/>
    <n v="1400"/>
    <n v="0"/>
    <s v="فيزا"/>
    <x v="1"/>
    <s v="عميل 270"/>
    <n v="2800"/>
    <n v="2800"/>
  </r>
  <r>
    <n v="10259"/>
    <s v="محمود"/>
    <d v="2026-07-27T00:00:00"/>
    <x v="14"/>
    <s v="إكسسوارات"/>
    <x v="3"/>
    <x v="17"/>
    <n v="7"/>
    <n v="450"/>
    <n v="0"/>
    <s v="محفظة إلكترونية"/>
    <x v="1"/>
    <s v="عميل 116"/>
    <n v="3150"/>
    <n v="3150"/>
  </r>
  <r>
    <n v="10260"/>
    <s v="علي"/>
    <d v="2026-07-13T00:00:00"/>
    <x v="14"/>
    <s v="إكسسوارات"/>
    <x v="0"/>
    <x v="0"/>
    <n v="2"/>
    <n v="450"/>
    <n v="7.0000000000000007E-2"/>
    <s v="محفظة إلكترونية"/>
    <x v="0"/>
    <s v="عميل 5"/>
    <n v="900"/>
    <n v="837"/>
  </r>
  <r>
    <n v="10261"/>
    <s v="محمود"/>
    <d v="2026-10-17T00:00:00"/>
    <x v="10"/>
    <s v="شبكات"/>
    <x v="5"/>
    <x v="9"/>
    <n v="8"/>
    <n v="2200"/>
    <n v="7.0000000000000007E-2"/>
    <s v="كاش"/>
    <x v="0"/>
    <s v="عميل 118"/>
    <n v="17600"/>
    <n v="16367.999999999998"/>
  </r>
  <r>
    <n v="10262"/>
    <s v="عمر"/>
    <d v="2026-10-06T00:00:00"/>
    <x v="5"/>
    <s v="إكسسوارات"/>
    <x v="4"/>
    <x v="20"/>
    <n v="1"/>
    <n v="1200"/>
    <n v="0"/>
    <s v="كاش"/>
    <x v="1"/>
    <s v="عميل 162"/>
    <n v="1200"/>
    <n v="1200"/>
  </r>
  <r>
    <n v="10263"/>
    <s v="علي"/>
    <d v="2026-02-09T00:00:00"/>
    <x v="1"/>
    <s v="أجهزة كمبيوتر"/>
    <x v="2"/>
    <x v="12"/>
    <n v="3"/>
    <n v="25000"/>
    <n v="0.15"/>
    <s v="تحويل بنكي"/>
    <x v="1"/>
    <s v="عميل 289"/>
    <n v="75000"/>
    <n v="63750"/>
  </r>
  <r>
    <n v="10264"/>
    <s v="علي"/>
    <d v="2026-03-13T00:00:00"/>
    <x v="5"/>
    <s v="إكسسوارات"/>
    <x v="6"/>
    <x v="22"/>
    <n v="9"/>
    <n v="1200"/>
    <n v="0.05"/>
    <s v="كاش"/>
    <x v="2"/>
    <s v="عميل 28"/>
    <n v="10800"/>
    <n v="10260"/>
  </r>
  <r>
    <n v="10265"/>
    <s v="حسن"/>
    <d v="2026-11-11T00:00:00"/>
    <x v="13"/>
    <s v="أجهزة كمبيوتر"/>
    <x v="6"/>
    <x v="23"/>
    <n v="2"/>
    <n v="28000"/>
    <n v="0.05"/>
    <s v="محفظة إلكترونية"/>
    <x v="2"/>
    <s v="عميل 16"/>
    <n v="56000"/>
    <n v="53200"/>
  </r>
  <r>
    <n v="10266"/>
    <s v="محمود"/>
    <d v="2026-10-11T00:00:00"/>
    <x v="0"/>
    <s v="تخزين"/>
    <x v="7"/>
    <x v="15"/>
    <n v="8"/>
    <n v="650"/>
    <n v="0.03"/>
    <s v="محفظة إلكترونية"/>
    <x v="3"/>
    <s v="عميل 96"/>
    <n v="5200"/>
    <n v="5044"/>
  </r>
  <r>
    <n v="10267"/>
    <s v="مؤمن"/>
    <d v="2026-02-07T00:00:00"/>
    <x v="0"/>
    <s v="تخزين"/>
    <x v="6"/>
    <x v="23"/>
    <n v="10"/>
    <n v="650"/>
    <n v="0.05"/>
    <s v="كاش"/>
    <x v="2"/>
    <s v="عميل 79"/>
    <n v="6500"/>
    <n v="6175"/>
  </r>
  <r>
    <n v="10268"/>
    <s v="محمد"/>
    <d v="2026-02-16T00:00:00"/>
    <x v="2"/>
    <s v="شاشات"/>
    <x v="5"/>
    <x v="8"/>
    <n v="6"/>
    <n v="7500"/>
    <n v="0.05"/>
    <s v="كاش"/>
    <x v="2"/>
    <s v="عميل 228"/>
    <n v="45000"/>
    <n v="42750"/>
  </r>
  <r>
    <n v="10269"/>
    <s v="يوسف"/>
    <d v="2026-08-09T00:00:00"/>
    <x v="9"/>
    <s v="إكسسوارات"/>
    <x v="7"/>
    <x v="18"/>
    <n v="3"/>
    <n v="1800"/>
    <n v="0"/>
    <s v="محفظة إلكترونية"/>
    <x v="3"/>
    <s v="عميل 53"/>
    <n v="5400"/>
    <n v="5400"/>
  </r>
  <r>
    <n v="10270"/>
    <s v="حسن"/>
    <d v="2026-11-03T00:00:00"/>
    <x v="1"/>
    <s v="أجهزة كمبيوتر"/>
    <x v="0"/>
    <x v="13"/>
    <n v="9"/>
    <n v="25000"/>
    <n v="0"/>
    <s v="تحويل بنكي"/>
    <x v="3"/>
    <s v="عميل 7"/>
    <n v="225000"/>
    <n v="225000"/>
  </r>
  <r>
    <n v="10271"/>
    <s v="مصطفى"/>
    <d v="2026-05-05T00:00:00"/>
    <x v="14"/>
    <s v="إكسسوارات"/>
    <x v="6"/>
    <x v="14"/>
    <n v="2"/>
    <n v="450"/>
    <n v="0.15"/>
    <s v="فيزا"/>
    <x v="3"/>
    <s v="عميل 87"/>
    <n v="900"/>
    <n v="765"/>
  </r>
  <r>
    <n v="10272"/>
    <s v="يوسف"/>
    <d v="2026-02-02T00:00:00"/>
    <x v="3"/>
    <s v="أجهزة كمبيوتر"/>
    <x v="7"/>
    <x v="15"/>
    <n v="5"/>
    <n v="32000"/>
    <n v="7.0000000000000007E-2"/>
    <s v="فيزا"/>
    <x v="3"/>
    <s v="عميل 142"/>
    <n v="160000"/>
    <n v="148800"/>
  </r>
  <r>
    <n v="10273"/>
    <s v="عمر"/>
    <d v="2026-05-07T00:00:00"/>
    <x v="2"/>
    <s v="شاشات"/>
    <x v="7"/>
    <x v="15"/>
    <n v="2"/>
    <n v="7500"/>
    <n v="0.05"/>
    <s v="محفظة إلكترونية"/>
    <x v="1"/>
    <s v="عميل 235"/>
    <n v="15000"/>
    <n v="14250"/>
  </r>
  <r>
    <n v="10274"/>
    <s v="محمود"/>
    <d v="2026-11-14T00:00:00"/>
    <x v="13"/>
    <s v="أجهزة كمبيوتر"/>
    <x v="5"/>
    <x v="21"/>
    <n v="1"/>
    <n v="28000"/>
    <n v="7.0000000000000007E-2"/>
    <s v="محفظة إلكترونية"/>
    <x v="2"/>
    <s v="عميل 226"/>
    <n v="28000"/>
    <n v="26040"/>
  </r>
  <r>
    <n v="10275"/>
    <s v="عمر"/>
    <d v="2026-06-14T00:00:00"/>
    <x v="9"/>
    <s v="إكسسوارات"/>
    <x v="6"/>
    <x v="22"/>
    <n v="10"/>
    <n v="1800"/>
    <n v="0.03"/>
    <s v="فيزا"/>
    <x v="3"/>
    <s v="عميل 161"/>
    <n v="18000"/>
    <n v="17460"/>
  </r>
  <r>
    <n v="10276"/>
    <s v="كريم"/>
    <d v="2026-10-22T00:00:00"/>
    <x v="3"/>
    <s v="أجهزة كمبيوتر"/>
    <x v="6"/>
    <x v="14"/>
    <n v="5"/>
    <n v="32000"/>
    <n v="0.15"/>
    <s v="فيزا"/>
    <x v="2"/>
    <s v="عميل 193"/>
    <n v="160000"/>
    <n v="136000"/>
  </r>
  <r>
    <n v="10277"/>
    <s v="مؤمن"/>
    <d v="2026-10-31T00:00:00"/>
    <x v="14"/>
    <s v="إكسسوارات"/>
    <x v="6"/>
    <x v="14"/>
    <n v="2"/>
    <n v="450"/>
    <n v="0.1"/>
    <s v="فيزا"/>
    <x v="0"/>
    <s v="عميل 237"/>
    <n v="900"/>
    <n v="810"/>
  </r>
  <r>
    <n v="10278"/>
    <s v="محمد"/>
    <d v="2026-07-29T00:00:00"/>
    <x v="10"/>
    <s v="شبكات"/>
    <x v="2"/>
    <x v="2"/>
    <n v="5"/>
    <n v="2200"/>
    <n v="0.15"/>
    <s v="محفظة إلكترونية"/>
    <x v="1"/>
    <s v="عميل 156"/>
    <n v="11000"/>
    <n v="9350"/>
  </r>
  <r>
    <n v="10279"/>
    <s v="علي"/>
    <d v="2026-07-13T00:00:00"/>
    <x v="5"/>
    <s v="إكسسوارات"/>
    <x v="7"/>
    <x v="19"/>
    <n v="3"/>
    <n v="1200"/>
    <n v="0.15"/>
    <s v="كاش"/>
    <x v="3"/>
    <s v="عميل 246"/>
    <n v="3600"/>
    <n v="3060"/>
  </r>
  <r>
    <n v="10280"/>
    <s v="علي"/>
    <d v="2026-10-06T00:00:00"/>
    <x v="12"/>
    <s v="تخزين"/>
    <x v="6"/>
    <x v="22"/>
    <n v="9"/>
    <n v="5200"/>
    <n v="0.15"/>
    <s v="كاش"/>
    <x v="2"/>
    <s v="عميل 275"/>
    <n v="46800"/>
    <n v="39780"/>
  </r>
  <r>
    <n v="10281"/>
    <s v="محمود"/>
    <d v="2026-03-27T00:00:00"/>
    <x v="12"/>
    <s v="تخزين"/>
    <x v="0"/>
    <x v="0"/>
    <n v="4"/>
    <n v="5200"/>
    <n v="0.15"/>
    <s v="كاش"/>
    <x v="3"/>
    <s v="عميل 170"/>
    <n v="20800"/>
    <n v="17680"/>
  </r>
  <r>
    <n v="10282"/>
    <s v="عمر"/>
    <d v="2026-04-24T00:00:00"/>
    <x v="4"/>
    <s v="شبكات"/>
    <x v="6"/>
    <x v="23"/>
    <n v="1"/>
    <n v="150"/>
    <n v="0"/>
    <s v="فيزا"/>
    <x v="3"/>
    <s v="عميل 192"/>
    <n v="150"/>
    <n v="150"/>
  </r>
  <r>
    <n v="10283"/>
    <s v="مصطفى"/>
    <d v="2026-03-19T00:00:00"/>
    <x v="2"/>
    <s v="شاشات"/>
    <x v="4"/>
    <x v="11"/>
    <n v="10"/>
    <n v="7500"/>
    <n v="0.15"/>
    <s v="تحويل بنكي"/>
    <x v="0"/>
    <s v="عميل 248"/>
    <n v="75000"/>
    <n v="63750"/>
  </r>
  <r>
    <n v="10284"/>
    <s v="يوسف"/>
    <d v="2026-06-28T00:00:00"/>
    <x v="13"/>
    <s v="أجهزة كمبيوتر"/>
    <x v="7"/>
    <x v="15"/>
    <n v="2"/>
    <n v="28000"/>
    <n v="0"/>
    <s v="تحويل بنكي"/>
    <x v="2"/>
    <s v="عميل 234"/>
    <n v="56000"/>
    <n v="56000"/>
  </r>
  <r>
    <n v="10285"/>
    <s v="كريم"/>
    <d v="2026-02-19T00:00:00"/>
    <x v="4"/>
    <s v="شبكات"/>
    <x v="2"/>
    <x v="12"/>
    <n v="8"/>
    <n v="150"/>
    <n v="0.05"/>
    <s v="محفظة إلكترونية"/>
    <x v="3"/>
    <s v="عميل 164"/>
    <n v="1200"/>
    <n v="1140"/>
  </r>
  <r>
    <n v="10286"/>
    <s v="محمود"/>
    <d v="2026-11-28T00:00:00"/>
    <x v="13"/>
    <s v="أجهزة كمبيوتر"/>
    <x v="7"/>
    <x v="18"/>
    <n v="2"/>
    <n v="28000"/>
    <n v="0"/>
    <s v="كاش"/>
    <x v="1"/>
    <s v="عميل 125"/>
    <n v="56000"/>
    <n v="56000"/>
  </r>
  <r>
    <n v="10287"/>
    <s v="علي"/>
    <d v="2026-08-25T00:00:00"/>
    <x v="7"/>
    <s v="تخزين"/>
    <x v="5"/>
    <x v="25"/>
    <n v="6"/>
    <n v="3200"/>
    <n v="0.1"/>
    <s v="فيزا"/>
    <x v="3"/>
    <s v="عميل 95"/>
    <n v="19200"/>
    <n v="17280"/>
  </r>
  <r>
    <n v="10288"/>
    <s v="حسن"/>
    <d v="2026-04-12T00:00:00"/>
    <x v="3"/>
    <s v="أجهزة كمبيوتر"/>
    <x v="6"/>
    <x v="14"/>
    <n v="1"/>
    <n v="32000"/>
    <n v="0.15"/>
    <s v="محفظة إلكترونية"/>
    <x v="3"/>
    <s v="عميل 200"/>
    <n v="32000"/>
    <n v="27200"/>
  </r>
  <r>
    <n v="10289"/>
    <s v="محمد"/>
    <d v="2026-10-23T00:00:00"/>
    <x v="1"/>
    <s v="أجهزة كمبيوتر"/>
    <x v="2"/>
    <x v="5"/>
    <n v="5"/>
    <n v="25000"/>
    <n v="0.15"/>
    <s v="كاش"/>
    <x v="1"/>
    <s v="عميل 188"/>
    <n v="125000"/>
    <n v="106250"/>
  </r>
  <r>
    <n v="10290"/>
    <s v="كريم"/>
    <d v="2026-09-28T00:00:00"/>
    <x v="9"/>
    <s v="إكسسوارات"/>
    <x v="2"/>
    <x v="2"/>
    <n v="2"/>
    <n v="1800"/>
    <n v="0.05"/>
    <s v="تحويل بنكي"/>
    <x v="3"/>
    <s v="عميل 201"/>
    <n v="3600"/>
    <n v="3420"/>
  </r>
  <r>
    <n v="10291"/>
    <s v="حسن"/>
    <d v="2026-03-30T00:00:00"/>
    <x v="12"/>
    <s v="تخزين"/>
    <x v="0"/>
    <x v="13"/>
    <n v="6"/>
    <n v="5200"/>
    <n v="7.0000000000000007E-2"/>
    <s v="تحويل بنكي"/>
    <x v="0"/>
    <s v="عميل 69"/>
    <n v="31200"/>
    <n v="29015.999999999996"/>
  </r>
  <r>
    <n v="10292"/>
    <s v="يوسف"/>
    <d v="2026-07-11T00:00:00"/>
    <x v="9"/>
    <s v="إكسسوارات"/>
    <x v="0"/>
    <x v="16"/>
    <n v="5"/>
    <n v="1800"/>
    <n v="0"/>
    <s v="فيزا"/>
    <x v="3"/>
    <s v="عميل 215"/>
    <n v="9000"/>
    <n v="9000"/>
  </r>
  <r>
    <n v="10293"/>
    <s v="كريم"/>
    <d v="2026-11-22T00:00:00"/>
    <x v="12"/>
    <s v="تخزين"/>
    <x v="5"/>
    <x v="8"/>
    <n v="7"/>
    <n v="5200"/>
    <n v="0.03"/>
    <s v="فيزا"/>
    <x v="1"/>
    <s v="عميل 251"/>
    <n v="36400"/>
    <n v="35308"/>
  </r>
  <r>
    <n v="10294"/>
    <s v="حسن"/>
    <d v="2026-01-28T00:00:00"/>
    <x v="14"/>
    <s v="إكسسوارات"/>
    <x v="5"/>
    <x v="25"/>
    <n v="6"/>
    <n v="450"/>
    <n v="7.0000000000000007E-2"/>
    <s v="تحويل بنكي"/>
    <x v="0"/>
    <s v="عميل 249"/>
    <n v="2700"/>
    <n v="2511"/>
  </r>
  <r>
    <n v="10295"/>
    <s v="كريم"/>
    <d v="2026-07-29T00:00:00"/>
    <x v="3"/>
    <s v="أجهزة كمبيوتر"/>
    <x v="2"/>
    <x v="2"/>
    <n v="9"/>
    <n v="32000"/>
    <n v="0.1"/>
    <s v="محفظة إلكترونية"/>
    <x v="3"/>
    <s v="عميل 228"/>
    <n v="288000"/>
    <n v="259200"/>
  </r>
  <r>
    <n v="10296"/>
    <s v="مؤمن"/>
    <d v="2026-05-30T00:00:00"/>
    <x v="6"/>
    <s v="شاشات"/>
    <x v="5"/>
    <x v="9"/>
    <n v="10"/>
    <n v="9000"/>
    <n v="0"/>
    <s v="كاش"/>
    <x v="2"/>
    <s v="عميل 116"/>
    <n v="90000"/>
    <n v="90000"/>
  </r>
  <r>
    <n v="10297"/>
    <s v="كريم"/>
    <d v="2026-10-09T00:00:00"/>
    <x v="7"/>
    <s v="تخزين"/>
    <x v="7"/>
    <x v="18"/>
    <n v="8"/>
    <n v="3200"/>
    <n v="0.1"/>
    <s v="كاش"/>
    <x v="0"/>
    <s v="عميل 138"/>
    <n v="25600"/>
    <n v="23040"/>
  </r>
  <r>
    <n v="10298"/>
    <s v="كريم"/>
    <d v="2026-10-07T00:00:00"/>
    <x v="4"/>
    <s v="شبكات"/>
    <x v="3"/>
    <x v="24"/>
    <n v="1"/>
    <n v="150"/>
    <n v="0.15"/>
    <s v="فيزا"/>
    <x v="3"/>
    <s v="عميل 53"/>
    <n v="150"/>
    <n v="127.5"/>
  </r>
  <r>
    <n v="10299"/>
    <s v="عمر"/>
    <d v="2026-06-28T00:00:00"/>
    <x v="10"/>
    <s v="شبكات"/>
    <x v="2"/>
    <x v="2"/>
    <n v="1"/>
    <n v="2200"/>
    <n v="7.0000000000000007E-2"/>
    <s v="كاش"/>
    <x v="3"/>
    <s v="عميل 61"/>
    <n v="2200"/>
    <n v="2045.9999999999998"/>
  </r>
  <r>
    <n v="10300"/>
    <s v="محمود"/>
    <d v="2026-12-30T00:00:00"/>
    <x v="4"/>
    <s v="شبكات"/>
    <x v="2"/>
    <x v="5"/>
    <n v="10"/>
    <n v="150"/>
    <n v="0.15"/>
    <s v="محفظة إلكترونية"/>
    <x v="1"/>
    <s v="عميل 72"/>
    <n v="1500"/>
    <n v="1275"/>
  </r>
  <r>
    <n v="10301"/>
    <s v="محمود"/>
    <d v="2026-09-30T00:00:00"/>
    <x v="4"/>
    <s v="شبكات"/>
    <x v="2"/>
    <x v="5"/>
    <n v="1"/>
    <n v="150"/>
    <n v="0.1"/>
    <s v="تحويل بنكي"/>
    <x v="1"/>
    <s v="عميل 166"/>
    <n v="150"/>
    <n v="135"/>
  </r>
  <r>
    <n v="10302"/>
    <s v="مصطفى"/>
    <d v="2026-12-14T00:00:00"/>
    <x v="10"/>
    <s v="شبكات"/>
    <x v="7"/>
    <x v="15"/>
    <n v="10"/>
    <n v="2200"/>
    <n v="0.05"/>
    <s v="كاش"/>
    <x v="1"/>
    <s v="عميل 211"/>
    <n v="22000"/>
    <n v="20900"/>
  </r>
  <r>
    <n v="10303"/>
    <s v="يوسف"/>
    <d v="2026-05-08T00:00:00"/>
    <x v="11"/>
    <s v="طابعات"/>
    <x v="1"/>
    <x v="6"/>
    <n v="3"/>
    <n v="6500"/>
    <n v="0.15"/>
    <s v="فيزا"/>
    <x v="2"/>
    <s v="عميل 127"/>
    <n v="19500"/>
    <n v="16575"/>
  </r>
  <r>
    <n v="10304"/>
    <s v="عمر"/>
    <d v="2026-11-18T00:00:00"/>
    <x v="4"/>
    <s v="شبكات"/>
    <x v="6"/>
    <x v="14"/>
    <n v="3"/>
    <n v="150"/>
    <n v="0.1"/>
    <s v="محفظة إلكترونية"/>
    <x v="3"/>
    <s v="عميل 232"/>
    <n v="450"/>
    <n v="405"/>
  </r>
  <r>
    <n v="10305"/>
    <s v="عمر"/>
    <d v="2026-12-22T00:00:00"/>
    <x v="13"/>
    <s v="أجهزة كمبيوتر"/>
    <x v="0"/>
    <x v="26"/>
    <n v="9"/>
    <n v="28000"/>
    <n v="0.15"/>
    <s v="تحويل بنكي"/>
    <x v="3"/>
    <s v="عميل 250"/>
    <n v="252000"/>
    <n v="214200"/>
  </r>
  <r>
    <n v="10306"/>
    <s v="محمود"/>
    <d v="2026-02-02T00:00:00"/>
    <x v="9"/>
    <s v="إكسسوارات"/>
    <x v="1"/>
    <x v="1"/>
    <n v="8"/>
    <n v="1800"/>
    <n v="0.15"/>
    <s v="محفظة إلكترونية"/>
    <x v="1"/>
    <s v="عميل 220"/>
    <n v="14400"/>
    <n v="12240"/>
  </r>
  <r>
    <n v="10307"/>
    <s v="عمر"/>
    <d v="2026-06-22T00:00:00"/>
    <x v="8"/>
    <s v="إكسسوارات"/>
    <x v="2"/>
    <x v="2"/>
    <n v="5"/>
    <n v="1400"/>
    <n v="0.05"/>
    <s v="فيزا"/>
    <x v="3"/>
    <s v="عميل 176"/>
    <n v="7000"/>
    <n v="6650"/>
  </r>
  <r>
    <n v="10308"/>
    <s v="كريم"/>
    <d v="2026-01-09T00:00:00"/>
    <x v="11"/>
    <s v="طابعات"/>
    <x v="1"/>
    <x v="1"/>
    <n v="2"/>
    <n v="6500"/>
    <n v="0.15"/>
    <s v="كاش"/>
    <x v="1"/>
    <s v="عميل 226"/>
    <n v="13000"/>
    <n v="11050"/>
  </r>
  <r>
    <n v="10309"/>
    <s v="يوسف"/>
    <d v="2026-11-29T00:00:00"/>
    <x v="6"/>
    <s v="شاشات"/>
    <x v="1"/>
    <x v="3"/>
    <n v="4"/>
    <n v="9000"/>
    <n v="0.15"/>
    <s v="تحويل بنكي"/>
    <x v="1"/>
    <s v="عميل 141"/>
    <n v="36000"/>
    <n v="30600"/>
  </r>
  <r>
    <n v="10310"/>
    <s v="يوسف"/>
    <d v="2026-01-27T00:00:00"/>
    <x v="13"/>
    <s v="أجهزة كمبيوتر"/>
    <x v="3"/>
    <x v="17"/>
    <n v="2"/>
    <n v="28000"/>
    <n v="0.05"/>
    <s v="محفظة إلكترونية"/>
    <x v="2"/>
    <s v="عميل 120"/>
    <n v="56000"/>
    <n v="53200"/>
  </r>
  <r>
    <n v="10311"/>
    <s v="كريم"/>
    <d v="2026-02-09T00:00:00"/>
    <x v="2"/>
    <s v="شاشات"/>
    <x v="0"/>
    <x v="0"/>
    <n v="1"/>
    <n v="7500"/>
    <n v="0.03"/>
    <s v="فيزا"/>
    <x v="1"/>
    <s v="عميل 266"/>
    <n v="7500"/>
    <n v="7275"/>
  </r>
  <r>
    <n v="10312"/>
    <s v="محمود"/>
    <d v="2026-03-03T00:00:00"/>
    <x v="0"/>
    <s v="تخزين"/>
    <x v="4"/>
    <x v="7"/>
    <n v="1"/>
    <n v="650"/>
    <n v="0.15"/>
    <s v="محفظة إلكترونية"/>
    <x v="1"/>
    <s v="عميل 245"/>
    <n v="650"/>
    <n v="552.5"/>
  </r>
  <r>
    <n v="10313"/>
    <s v="محمد"/>
    <d v="2026-02-22T00:00:00"/>
    <x v="13"/>
    <s v="أجهزة كمبيوتر"/>
    <x v="2"/>
    <x v="2"/>
    <n v="2"/>
    <n v="28000"/>
    <n v="0.15"/>
    <s v="تحويل بنكي"/>
    <x v="2"/>
    <s v="عميل 154"/>
    <n v="56000"/>
    <n v="47600"/>
  </r>
  <r>
    <n v="10314"/>
    <s v="مصطفى"/>
    <d v="2026-10-16T00:00:00"/>
    <x v="3"/>
    <s v="أجهزة كمبيوتر"/>
    <x v="6"/>
    <x v="23"/>
    <n v="3"/>
    <n v="32000"/>
    <n v="0"/>
    <s v="كاش"/>
    <x v="1"/>
    <s v="عميل 226"/>
    <n v="96000"/>
    <n v="96000"/>
  </r>
  <r>
    <n v="10315"/>
    <s v="حسن"/>
    <d v="2026-12-18T00:00:00"/>
    <x v="9"/>
    <s v="إكسسوارات"/>
    <x v="2"/>
    <x v="12"/>
    <n v="3"/>
    <n v="1800"/>
    <n v="7.0000000000000007E-2"/>
    <s v="محفظة إلكترونية"/>
    <x v="1"/>
    <s v="عميل 45"/>
    <n v="5400"/>
    <n v="5022"/>
  </r>
  <r>
    <n v="10316"/>
    <s v="علي"/>
    <d v="2026-06-29T00:00:00"/>
    <x v="11"/>
    <s v="طابعات"/>
    <x v="0"/>
    <x v="16"/>
    <n v="2"/>
    <n v="6500"/>
    <n v="0.1"/>
    <s v="محفظة إلكترونية"/>
    <x v="2"/>
    <s v="عميل 72"/>
    <n v="13000"/>
    <n v="11700"/>
  </r>
  <r>
    <n v="10317"/>
    <s v="مصطفى"/>
    <d v="2026-11-04T00:00:00"/>
    <x v="5"/>
    <s v="إكسسوارات"/>
    <x v="7"/>
    <x v="19"/>
    <n v="2"/>
    <n v="1200"/>
    <n v="0.03"/>
    <s v="تحويل بنكي"/>
    <x v="0"/>
    <s v="عميل 155"/>
    <n v="2400"/>
    <n v="2328"/>
  </r>
  <r>
    <n v="10318"/>
    <s v="أحمد"/>
    <d v="2026-05-03T00:00:00"/>
    <x v="5"/>
    <s v="إكسسوارات"/>
    <x v="2"/>
    <x v="12"/>
    <n v="7"/>
    <n v="1200"/>
    <n v="0.05"/>
    <s v="محفظة إلكترونية"/>
    <x v="3"/>
    <s v="عميل 58"/>
    <n v="8400"/>
    <n v="7980"/>
  </r>
  <r>
    <n v="10319"/>
    <s v="مصطفى"/>
    <d v="2026-01-07T00:00:00"/>
    <x v="5"/>
    <s v="إكسسوارات"/>
    <x v="4"/>
    <x v="11"/>
    <n v="10"/>
    <n v="1200"/>
    <n v="0"/>
    <s v="تحويل بنكي"/>
    <x v="2"/>
    <s v="عميل 68"/>
    <n v="12000"/>
    <n v="12000"/>
  </r>
  <r>
    <n v="10320"/>
    <s v="يوسف"/>
    <d v="2026-08-30T00:00:00"/>
    <x v="2"/>
    <s v="شاشات"/>
    <x v="6"/>
    <x v="14"/>
    <n v="9"/>
    <n v="7500"/>
    <n v="0.15"/>
    <s v="كاش"/>
    <x v="0"/>
    <s v="عميل 35"/>
    <n v="67500"/>
    <n v="57375"/>
  </r>
  <r>
    <n v="10321"/>
    <s v="علي"/>
    <d v="2026-09-17T00:00:00"/>
    <x v="1"/>
    <s v="أجهزة كمبيوتر"/>
    <x v="7"/>
    <x v="18"/>
    <n v="1"/>
    <n v="25000"/>
    <n v="0"/>
    <s v="تحويل بنكي"/>
    <x v="3"/>
    <s v="عميل 217"/>
    <n v="25000"/>
    <n v="25000"/>
  </r>
  <r>
    <n v="10322"/>
    <s v="حسن"/>
    <d v="2026-03-20T00:00:00"/>
    <x v="10"/>
    <s v="شبكات"/>
    <x v="6"/>
    <x v="23"/>
    <n v="9"/>
    <n v="2200"/>
    <n v="0.1"/>
    <s v="تحويل بنكي"/>
    <x v="0"/>
    <s v="عميل 159"/>
    <n v="19800"/>
    <n v="17820"/>
  </r>
  <r>
    <n v="10323"/>
    <s v="علي"/>
    <d v="2026-10-28T00:00:00"/>
    <x v="13"/>
    <s v="أجهزة كمبيوتر"/>
    <x v="2"/>
    <x v="5"/>
    <n v="9"/>
    <n v="28000"/>
    <n v="0.05"/>
    <s v="كاش"/>
    <x v="2"/>
    <s v="عميل 224"/>
    <n v="252000"/>
    <n v="239400"/>
  </r>
  <r>
    <n v="10324"/>
    <s v="علي"/>
    <d v="2026-03-01T00:00:00"/>
    <x v="10"/>
    <s v="شبكات"/>
    <x v="2"/>
    <x v="5"/>
    <n v="4"/>
    <n v="2200"/>
    <n v="0"/>
    <s v="محفظة إلكترونية"/>
    <x v="0"/>
    <s v="عميل 159"/>
    <n v="8800"/>
    <n v="8800"/>
  </r>
  <r>
    <n v="10325"/>
    <s v="يوسف"/>
    <d v="2026-12-26T00:00:00"/>
    <x v="0"/>
    <s v="تخزين"/>
    <x v="5"/>
    <x v="9"/>
    <n v="1"/>
    <n v="650"/>
    <n v="0.15"/>
    <s v="كاش"/>
    <x v="1"/>
    <s v="عميل 255"/>
    <n v="650"/>
    <n v="552.5"/>
  </r>
  <r>
    <n v="10326"/>
    <s v="عمر"/>
    <d v="2026-03-02T00:00:00"/>
    <x v="9"/>
    <s v="إكسسوارات"/>
    <x v="7"/>
    <x v="18"/>
    <n v="6"/>
    <n v="1800"/>
    <n v="0.03"/>
    <s v="كاش"/>
    <x v="2"/>
    <s v="عميل 220"/>
    <n v="10800"/>
    <n v="10476"/>
  </r>
  <r>
    <n v="10327"/>
    <s v="محمد"/>
    <d v="2026-09-12T00:00:00"/>
    <x v="14"/>
    <s v="إكسسوارات"/>
    <x v="0"/>
    <x v="13"/>
    <n v="10"/>
    <n v="450"/>
    <n v="0.15"/>
    <s v="محفظة إلكترونية"/>
    <x v="2"/>
    <s v="عميل 29"/>
    <n v="4500"/>
    <n v="3825"/>
  </r>
  <r>
    <n v="10328"/>
    <s v="محمد"/>
    <d v="2026-10-21T00:00:00"/>
    <x v="6"/>
    <s v="شاشات"/>
    <x v="5"/>
    <x v="21"/>
    <n v="3"/>
    <n v="9000"/>
    <n v="0.05"/>
    <s v="كاش"/>
    <x v="1"/>
    <s v="عميل 261"/>
    <n v="27000"/>
    <n v="25650"/>
  </r>
  <r>
    <n v="10329"/>
    <s v="كريم"/>
    <d v="2026-07-06T00:00:00"/>
    <x v="1"/>
    <s v="أجهزة كمبيوتر"/>
    <x v="1"/>
    <x v="1"/>
    <n v="4"/>
    <n v="25000"/>
    <n v="0"/>
    <s v="محفظة إلكترونية"/>
    <x v="1"/>
    <s v="عميل 92"/>
    <n v="100000"/>
    <n v="100000"/>
  </r>
  <r>
    <n v="10330"/>
    <s v="مؤمن"/>
    <d v="2026-08-02T00:00:00"/>
    <x v="11"/>
    <s v="طابعات"/>
    <x v="1"/>
    <x v="3"/>
    <n v="4"/>
    <n v="6500"/>
    <n v="0.05"/>
    <s v="تحويل بنكي"/>
    <x v="2"/>
    <s v="عميل 40"/>
    <n v="26000"/>
    <n v="24700"/>
  </r>
  <r>
    <n v="10331"/>
    <s v="أحمد"/>
    <d v="2026-04-02T00:00:00"/>
    <x v="12"/>
    <s v="تخزين"/>
    <x v="3"/>
    <x v="4"/>
    <n v="9"/>
    <n v="5200"/>
    <n v="0.15"/>
    <s v="فيزا"/>
    <x v="0"/>
    <s v="عميل 206"/>
    <n v="46800"/>
    <n v="39780"/>
  </r>
  <r>
    <n v="10332"/>
    <s v="محمد"/>
    <d v="2026-10-11T00:00:00"/>
    <x v="13"/>
    <s v="أجهزة كمبيوتر"/>
    <x v="4"/>
    <x v="20"/>
    <n v="5"/>
    <n v="28000"/>
    <n v="0.05"/>
    <s v="محفظة إلكترونية"/>
    <x v="0"/>
    <s v="عميل 189"/>
    <n v="140000"/>
    <n v="133000"/>
  </r>
  <r>
    <n v="10333"/>
    <s v="حسن"/>
    <d v="2026-05-05T00:00:00"/>
    <x v="5"/>
    <s v="إكسسوارات"/>
    <x v="7"/>
    <x v="19"/>
    <n v="5"/>
    <n v="1200"/>
    <n v="0.15"/>
    <s v="محفظة إلكترونية"/>
    <x v="2"/>
    <s v="عميل 253"/>
    <n v="6000"/>
    <n v="5100"/>
  </r>
  <r>
    <n v="10334"/>
    <s v="يوسف"/>
    <d v="2026-01-04T00:00:00"/>
    <x v="4"/>
    <s v="شبكات"/>
    <x v="2"/>
    <x v="12"/>
    <n v="9"/>
    <n v="150"/>
    <n v="0.03"/>
    <s v="محفظة إلكترونية"/>
    <x v="0"/>
    <s v="عميل 120"/>
    <n v="1350"/>
    <n v="1309.5"/>
  </r>
  <r>
    <n v="10335"/>
    <s v="أحمد"/>
    <d v="2026-12-03T00:00:00"/>
    <x v="7"/>
    <s v="تخزين"/>
    <x v="3"/>
    <x v="24"/>
    <n v="1"/>
    <n v="3200"/>
    <n v="0.05"/>
    <s v="محفظة إلكترونية"/>
    <x v="2"/>
    <s v="عميل 54"/>
    <n v="3200"/>
    <n v="3040"/>
  </r>
  <r>
    <n v="10336"/>
    <s v="يوسف"/>
    <d v="2026-12-31T00:00:00"/>
    <x v="5"/>
    <s v="إكسسوارات"/>
    <x v="2"/>
    <x v="2"/>
    <n v="8"/>
    <n v="1200"/>
    <n v="0"/>
    <s v="تحويل بنكي"/>
    <x v="0"/>
    <s v="عميل 23"/>
    <n v="9600"/>
    <n v="9600"/>
  </r>
  <r>
    <n v="10337"/>
    <s v="محمود"/>
    <d v="2026-08-23T00:00:00"/>
    <x v="11"/>
    <s v="طابعات"/>
    <x v="2"/>
    <x v="12"/>
    <n v="7"/>
    <n v="6500"/>
    <n v="0.15"/>
    <s v="كاش"/>
    <x v="0"/>
    <s v="عميل 259"/>
    <n v="45500"/>
    <n v="38675"/>
  </r>
  <r>
    <n v="10338"/>
    <s v="أحمد"/>
    <d v="2026-08-11T00:00:00"/>
    <x v="3"/>
    <s v="أجهزة كمبيوتر"/>
    <x v="6"/>
    <x v="23"/>
    <n v="10"/>
    <n v="32000"/>
    <n v="0.1"/>
    <s v="فيزا"/>
    <x v="1"/>
    <s v="عميل 150"/>
    <n v="320000"/>
    <n v="288000"/>
  </r>
  <r>
    <n v="10339"/>
    <s v="كريم"/>
    <d v="2026-05-20T00:00:00"/>
    <x v="14"/>
    <s v="إكسسوارات"/>
    <x v="3"/>
    <x v="17"/>
    <n v="6"/>
    <n v="450"/>
    <n v="0.05"/>
    <s v="فيزا"/>
    <x v="0"/>
    <s v="عميل 104"/>
    <n v="2700"/>
    <n v="2565"/>
  </r>
  <r>
    <n v="10340"/>
    <s v="كريم"/>
    <d v="2026-08-27T00:00:00"/>
    <x v="3"/>
    <s v="أجهزة كمبيوتر"/>
    <x v="0"/>
    <x v="16"/>
    <n v="2"/>
    <n v="32000"/>
    <n v="0.03"/>
    <s v="تحويل بنكي"/>
    <x v="3"/>
    <s v="عميل 62"/>
    <n v="64000"/>
    <n v="62080"/>
  </r>
  <r>
    <n v="10341"/>
    <s v="كريم"/>
    <d v="2026-05-16T00:00:00"/>
    <x v="7"/>
    <s v="تخزين"/>
    <x v="3"/>
    <x v="4"/>
    <n v="8"/>
    <n v="3200"/>
    <n v="0.05"/>
    <s v="كاش"/>
    <x v="0"/>
    <s v="عميل 81"/>
    <n v="25600"/>
    <n v="24320"/>
  </r>
  <r>
    <n v="10342"/>
    <s v="مؤمن"/>
    <d v="2026-06-17T00:00:00"/>
    <x v="4"/>
    <s v="شبكات"/>
    <x v="7"/>
    <x v="19"/>
    <n v="10"/>
    <n v="150"/>
    <n v="0"/>
    <s v="فيزا"/>
    <x v="0"/>
    <s v="عميل 128"/>
    <n v="1500"/>
    <n v="1500"/>
  </r>
  <r>
    <n v="10343"/>
    <s v="عمر"/>
    <d v="2026-05-14T00:00:00"/>
    <x v="9"/>
    <s v="إكسسوارات"/>
    <x v="6"/>
    <x v="22"/>
    <n v="1"/>
    <n v="1800"/>
    <n v="0.15"/>
    <s v="فيزا"/>
    <x v="0"/>
    <s v="عميل 208"/>
    <n v="1800"/>
    <n v="1530"/>
  </r>
  <r>
    <n v="10344"/>
    <s v="محمد"/>
    <d v="2026-08-25T00:00:00"/>
    <x v="8"/>
    <s v="إكسسوارات"/>
    <x v="4"/>
    <x v="11"/>
    <n v="9"/>
    <n v="1400"/>
    <n v="0.03"/>
    <s v="كاش"/>
    <x v="1"/>
    <s v="عميل 63"/>
    <n v="12600"/>
    <n v="12222"/>
  </r>
  <r>
    <n v="10345"/>
    <s v="علي"/>
    <d v="2026-07-10T00:00:00"/>
    <x v="1"/>
    <s v="أجهزة كمبيوتر"/>
    <x v="1"/>
    <x v="10"/>
    <n v="3"/>
    <n v="25000"/>
    <n v="0.03"/>
    <s v="كاش"/>
    <x v="2"/>
    <s v="عميل 39"/>
    <n v="75000"/>
    <n v="72750"/>
  </r>
  <r>
    <n v="10346"/>
    <s v="محمد"/>
    <d v="2026-06-19T00:00:00"/>
    <x v="1"/>
    <s v="أجهزة كمبيوتر"/>
    <x v="0"/>
    <x v="16"/>
    <n v="8"/>
    <n v="25000"/>
    <n v="0.03"/>
    <s v="كاش"/>
    <x v="0"/>
    <s v="عميل 237"/>
    <n v="200000"/>
    <n v="194000"/>
  </r>
  <r>
    <n v="10347"/>
    <s v="أحمد"/>
    <d v="2026-07-15T00:00:00"/>
    <x v="1"/>
    <s v="أجهزة كمبيوتر"/>
    <x v="5"/>
    <x v="8"/>
    <n v="7"/>
    <n v="25000"/>
    <n v="7.0000000000000007E-2"/>
    <s v="محفظة إلكترونية"/>
    <x v="1"/>
    <s v="عميل 182"/>
    <n v="175000"/>
    <n v="162750"/>
  </r>
  <r>
    <n v="10348"/>
    <s v="يوسف"/>
    <d v="2026-01-18T00:00:00"/>
    <x v="5"/>
    <s v="إكسسوارات"/>
    <x v="5"/>
    <x v="21"/>
    <n v="5"/>
    <n v="1200"/>
    <n v="7.0000000000000007E-2"/>
    <s v="فيزا"/>
    <x v="2"/>
    <s v="عميل 256"/>
    <n v="6000"/>
    <n v="5580"/>
  </r>
  <r>
    <n v="10349"/>
    <s v="علي"/>
    <d v="2026-03-12T00:00:00"/>
    <x v="2"/>
    <s v="شاشات"/>
    <x v="4"/>
    <x v="7"/>
    <n v="2"/>
    <n v="7500"/>
    <n v="0.05"/>
    <s v="محفظة إلكترونية"/>
    <x v="1"/>
    <s v="عميل 270"/>
    <n v="15000"/>
    <n v="14250"/>
  </r>
  <r>
    <n v="10350"/>
    <s v="مصطفى"/>
    <d v="2026-09-06T00:00:00"/>
    <x v="5"/>
    <s v="إكسسوارات"/>
    <x v="1"/>
    <x v="3"/>
    <n v="6"/>
    <n v="1200"/>
    <n v="7.0000000000000007E-2"/>
    <s v="تحويل بنكي"/>
    <x v="2"/>
    <s v="عميل 199"/>
    <n v="7200"/>
    <n v="6696"/>
  </r>
  <r>
    <n v="10351"/>
    <s v="مؤمن"/>
    <d v="2026-01-16T00:00:00"/>
    <x v="14"/>
    <s v="إكسسوارات"/>
    <x v="5"/>
    <x v="9"/>
    <n v="6"/>
    <n v="450"/>
    <n v="0.1"/>
    <s v="تحويل بنكي"/>
    <x v="0"/>
    <s v="عميل 242"/>
    <n v="2700"/>
    <n v="2430"/>
  </r>
  <r>
    <n v="10352"/>
    <s v="محمد"/>
    <d v="2026-05-07T00:00:00"/>
    <x v="7"/>
    <s v="تخزين"/>
    <x v="3"/>
    <x v="24"/>
    <n v="4"/>
    <n v="3200"/>
    <n v="0.03"/>
    <s v="فيزا"/>
    <x v="2"/>
    <s v="عميل 274"/>
    <n v="12800"/>
    <n v="12416"/>
  </r>
  <r>
    <n v="10353"/>
    <s v="محمود"/>
    <d v="2026-03-30T00:00:00"/>
    <x v="8"/>
    <s v="إكسسوارات"/>
    <x v="1"/>
    <x v="10"/>
    <n v="10"/>
    <n v="1400"/>
    <n v="7.0000000000000007E-2"/>
    <s v="فيزا"/>
    <x v="1"/>
    <s v="عميل 163"/>
    <n v="14000"/>
    <n v="13020"/>
  </r>
  <r>
    <n v="10354"/>
    <s v="محمود"/>
    <d v="2026-10-18T00:00:00"/>
    <x v="4"/>
    <s v="شبكات"/>
    <x v="3"/>
    <x v="24"/>
    <n v="1"/>
    <n v="150"/>
    <n v="0.15"/>
    <s v="فيزا"/>
    <x v="1"/>
    <s v="عميل 253"/>
    <n v="150"/>
    <n v="127.5"/>
  </r>
  <r>
    <n v="10355"/>
    <s v="محمد"/>
    <d v="2026-01-29T00:00:00"/>
    <x v="7"/>
    <s v="تخزين"/>
    <x v="7"/>
    <x v="18"/>
    <n v="8"/>
    <n v="3200"/>
    <n v="0"/>
    <s v="فيزا"/>
    <x v="1"/>
    <s v="عميل 11"/>
    <n v="25600"/>
    <n v="25600"/>
  </r>
  <r>
    <n v="10356"/>
    <s v="مؤمن"/>
    <d v="2026-03-08T00:00:00"/>
    <x v="7"/>
    <s v="تخزين"/>
    <x v="4"/>
    <x v="7"/>
    <n v="6"/>
    <n v="3200"/>
    <n v="0.1"/>
    <s v="تحويل بنكي"/>
    <x v="1"/>
    <s v="عميل 166"/>
    <n v="19200"/>
    <n v="17280"/>
  </r>
  <r>
    <n v="10357"/>
    <s v="يوسف"/>
    <d v="2026-02-26T00:00:00"/>
    <x v="1"/>
    <s v="أجهزة كمبيوتر"/>
    <x v="1"/>
    <x v="10"/>
    <n v="10"/>
    <n v="25000"/>
    <n v="0.15"/>
    <s v="تحويل بنكي"/>
    <x v="0"/>
    <s v="عميل 192"/>
    <n v="250000"/>
    <n v="212500"/>
  </r>
  <r>
    <n v="10358"/>
    <s v="عمر"/>
    <d v="2026-06-15T00:00:00"/>
    <x v="10"/>
    <s v="شبكات"/>
    <x v="6"/>
    <x v="22"/>
    <n v="2"/>
    <n v="2200"/>
    <n v="0.05"/>
    <s v="فيزا"/>
    <x v="1"/>
    <s v="عميل 224"/>
    <n v="4400"/>
    <n v="4180"/>
  </r>
  <r>
    <n v="10359"/>
    <s v="مصطفى"/>
    <d v="2026-12-22T00:00:00"/>
    <x v="4"/>
    <s v="شبكات"/>
    <x v="4"/>
    <x v="11"/>
    <n v="6"/>
    <n v="150"/>
    <n v="0.03"/>
    <s v="تحويل بنكي"/>
    <x v="1"/>
    <s v="عميل 90"/>
    <n v="900"/>
    <n v="873"/>
  </r>
  <r>
    <n v="10360"/>
    <s v="يوسف"/>
    <d v="2026-01-01T00:00:00"/>
    <x v="2"/>
    <s v="شاشات"/>
    <x v="7"/>
    <x v="19"/>
    <n v="5"/>
    <n v="7500"/>
    <n v="0.03"/>
    <s v="محفظة إلكترونية"/>
    <x v="0"/>
    <s v="عميل 94"/>
    <n v="37500"/>
    <n v="36375"/>
  </r>
  <r>
    <n v="10361"/>
    <s v="حسن"/>
    <d v="2026-02-23T00:00:00"/>
    <x v="12"/>
    <s v="تخزين"/>
    <x v="3"/>
    <x v="24"/>
    <n v="4"/>
    <n v="5200"/>
    <n v="0.15"/>
    <s v="محفظة إلكترونية"/>
    <x v="1"/>
    <s v="عميل 170"/>
    <n v="20800"/>
    <n v="17680"/>
  </r>
  <r>
    <n v="10362"/>
    <s v="يوسف"/>
    <d v="2026-11-22T00:00:00"/>
    <x v="10"/>
    <s v="شبكات"/>
    <x v="0"/>
    <x v="16"/>
    <n v="6"/>
    <n v="2200"/>
    <n v="0.05"/>
    <s v="كاش"/>
    <x v="2"/>
    <s v="عميل 229"/>
    <n v="13200"/>
    <n v="12540"/>
  </r>
  <r>
    <n v="10363"/>
    <s v="محمد"/>
    <d v="2026-06-29T00:00:00"/>
    <x v="1"/>
    <s v="أجهزة كمبيوتر"/>
    <x v="7"/>
    <x v="18"/>
    <n v="4"/>
    <n v="25000"/>
    <n v="0.15"/>
    <s v="تحويل بنكي"/>
    <x v="0"/>
    <s v="عميل 1"/>
    <n v="100000"/>
    <n v="85000"/>
  </r>
  <r>
    <n v="10364"/>
    <s v="علي"/>
    <d v="2026-09-10T00:00:00"/>
    <x v="1"/>
    <s v="أجهزة كمبيوتر"/>
    <x v="6"/>
    <x v="14"/>
    <n v="7"/>
    <n v="25000"/>
    <n v="0.03"/>
    <s v="محفظة إلكترونية"/>
    <x v="2"/>
    <s v="عميل 280"/>
    <n v="175000"/>
    <n v="169750"/>
  </r>
  <r>
    <n v="10365"/>
    <s v="مؤمن"/>
    <d v="2026-03-25T00:00:00"/>
    <x v="2"/>
    <s v="شاشات"/>
    <x v="0"/>
    <x v="26"/>
    <n v="10"/>
    <n v="7500"/>
    <n v="0.15"/>
    <s v="محفظة إلكترونية"/>
    <x v="0"/>
    <s v="عميل 18"/>
    <n v="75000"/>
    <n v="63750"/>
  </r>
  <r>
    <n v="10366"/>
    <s v="محمد"/>
    <d v="2026-06-25T00:00:00"/>
    <x v="14"/>
    <s v="إكسسوارات"/>
    <x v="1"/>
    <x v="6"/>
    <n v="5"/>
    <n v="450"/>
    <n v="0"/>
    <s v="فيزا"/>
    <x v="3"/>
    <s v="عميل 83"/>
    <n v="2250"/>
    <n v="2250"/>
  </r>
  <r>
    <n v="10367"/>
    <s v="حسن"/>
    <d v="2026-09-05T00:00:00"/>
    <x v="10"/>
    <s v="شبكات"/>
    <x v="0"/>
    <x v="0"/>
    <n v="6"/>
    <n v="2200"/>
    <n v="0.1"/>
    <s v="كاش"/>
    <x v="3"/>
    <s v="عميل 85"/>
    <n v="13200"/>
    <n v="11880"/>
  </r>
  <r>
    <n v="10368"/>
    <s v="محمود"/>
    <d v="2026-04-16T00:00:00"/>
    <x v="12"/>
    <s v="تخزين"/>
    <x v="6"/>
    <x v="23"/>
    <n v="1"/>
    <n v="5200"/>
    <n v="0"/>
    <s v="فيزا"/>
    <x v="3"/>
    <s v="عميل 284"/>
    <n v="5200"/>
    <n v="5200"/>
  </r>
  <r>
    <n v="10369"/>
    <s v="مؤمن"/>
    <d v="2026-02-19T00:00:00"/>
    <x v="10"/>
    <s v="شبكات"/>
    <x v="7"/>
    <x v="19"/>
    <n v="5"/>
    <n v="2200"/>
    <n v="0.05"/>
    <s v="كاش"/>
    <x v="3"/>
    <s v="عميل 293"/>
    <n v="11000"/>
    <n v="10450"/>
  </r>
  <r>
    <n v="10370"/>
    <s v="أحمد"/>
    <d v="2026-08-07T00:00:00"/>
    <x v="7"/>
    <s v="تخزين"/>
    <x v="4"/>
    <x v="7"/>
    <n v="1"/>
    <n v="3200"/>
    <n v="0.05"/>
    <s v="كاش"/>
    <x v="2"/>
    <s v="عميل 246"/>
    <n v="3200"/>
    <n v="3040"/>
  </r>
  <r>
    <n v="10371"/>
    <s v="عمر"/>
    <d v="2026-02-11T00:00:00"/>
    <x v="5"/>
    <s v="إكسسوارات"/>
    <x v="0"/>
    <x v="0"/>
    <n v="4"/>
    <n v="1200"/>
    <n v="0.03"/>
    <s v="محفظة إلكترونية"/>
    <x v="0"/>
    <s v="عميل 158"/>
    <n v="4800"/>
    <n v="4656"/>
  </r>
  <r>
    <n v="10372"/>
    <s v="عمر"/>
    <d v="2026-02-16T00:00:00"/>
    <x v="4"/>
    <s v="شبكات"/>
    <x v="6"/>
    <x v="14"/>
    <n v="8"/>
    <n v="150"/>
    <n v="0.15"/>
    <s v="محفظة إلكترونية"/>
    <x v="1"/>
    <s v="عميل 190"/>
    <n v="1200"/>
    <n v="1020"/>
  </r>
  <r>
    <n v="10373"/>
    <s v="أحمد"/>
    <d v="2026-05-15T00:00:00"/>
    <x v="11"/>
    <s v="طابعات"/>
    <x v="6"/>
    <x v="14"/>
    <n v="3"/>
    <n v="6500"/>
    <n v="7.0000000000000007E-2"/>
    <s v="محفظة إلكترونية"/>
    <x v="3"/>
    <s v="عميل 135"/>
    <n v="19500"/>
    <n v="18135"/>
  </r>
  <r>
    <n v="10374"/>
    <s v="محمد"/>
    <d v="2026-02-13T00:00:00"/>
    <x v="5"/>
    <s v="إكسسوارات"/>
    <x v="7"/>
    <x v="19"/>
    <n v="1"/>
    <n v="1200"/>
    <n v="0.03"/>
    <s v="تحويل بنكي"/>
    <x v="3"/>
    <s v="عميل 117"/>
    <n v="1200"/>
    <n v="1164"/>
  </r>
  <r>
    <n v="10375"/>
    <s v="مصطفى"/>
    <d v="2026-12-18T00:00:00"/>
    <x v="7"/>
    <s v="تخزين"/>
    <x v="1"/>
    <x v="3"/>
    <n v="9"/>
    <n v="3200"/>
    <n v="7.0000000000000007E-2"/>
    <s v="محفظة إلكترونية"/>
    <x v="1"/>
    <s v="عميل 244"/>
    <n v="28800"/>
    <n v="26784"/>
  </r>
  <r>
    <n v="10376"/>
    <s v="حسن"/>
    <d v="2026-09-22T00:00:00"/>
    <x v="14"/>
    <s v="إكسسوارات"/>
    <x v="0"/>
    <x v="26"/>
    <n v="1"/>
    <n v="450"/>
    <n v="0.1"/>
    <s v="فيزا"/>
    <x v="0"/>
    <s v="عميل 230"/>
    <n v="450"/>
    <n v="405"/>
  </r>
  <r>
    <n v="10377"/>
    <s v="أحمد"/>
    <d v="2026-08-05T00:00:00"/>
    <x v="3"/>
    <s v="أجهزة كمبيوتر"/>
    <x v="5"/>
    <x v="25"/>
    <n v="4"/>
    <n v="32000"/>
    <n v="0.03"/>
    <s v="كاش"/>
    <x v="3"/>
    <s v="عميل 104"/>
    <n v="128000"/>
    <n v="124160"/>
  </r>
  <r>
    <n v="10378"/>
    <s v="محمد"/>
    <d v="2026-02-14T00:00:00"/>
    <x v="8"/>
    <s v="إكسسوارات"/>
    <x v="5"/>
    <x v="21"/>
    <n v="6"/>
    <n v="1400"/>
    <n v="0.15"/>
    <s v="محفظة إلكترونية"/>
    <x v="3"/>
    <s v="عميل 283"/>
    <n v="8400"/>
    <n v="7140"/>
  </r>
  <r>
    <n v="10379"/>
    <s v="حسن"/>
    <d v="2026-10-28T00:00:00"/>
    <x v="9"/>
    <s v="إكسسوارات"/>
    <x v="7"/>
    <x v="19"/>
    <n v="8"/>
    <n v="1800"/>
    <n v="0"/>
    <s v="محفظة إلكترونية"/>
    <x v="0"/>
    <s v="عميل 213"/>
    <n v="14400"/>
    <n v="14400"/>
  </r>
  <r>
    <n v="10380"/>
    <s v="محمد"/>
    <d v="2026-05-27T00:00:00"/>
    <x v="3"/>
    <s v="أجهزة كمبيوتر"/>
    <x v="5"/>
    <x v="9"/>
    <n v="2"/>
    <n v="32000"/>
    <n v="0.1"/>
    <s v="تحويل بنكي"/>
    <x v="3"/>
    <s v="عميل 136"/>
    <n v="64000"/>
    <n v="57600"/>
  </r>
  <r>
    <n v="10381"/>
    <s v="أحمد"/>
    <d v="2026-03-30T00:00:00"/>
    <x v="2"/>
    <s v="شاشات"/>
    <x v="4"/>
    <x v="11"/>
    <n v="10"/>
    <n v="7500"/>
    <n v="7.0000000000000007E-2"/>
    <s v="تحويل بنكي"/>
    <x v="3"/>
    <s v="عميل 74"/>
    <n v="75000"/>
    <n v="69750"/>
  </r>
  <r>
    <n v="10382"/>
    <s v="مؤمن"/>
    <d v="2026-01-26T00:00:00"/>
    <x v="12"/>
    <s v="تخزين"/>
    <x v="6"/>
    <x v="23"/>
    <n v="7"/>
    <n v="5200"/>
    <n v="0.05"/>
    <s v="محفظة إلكترونية"/>
    <x v="2"/>
    <s v="عميل 191"/>
    <n v="36400"/>
    <n v="34580"/>
  </r>
  <r>
    <n v="10383"/>
    <s v="كريم"/>
    <d v="2026-12-23T00:00:00"/>
    <x v="1"/>
    <s v="أجهزة كمبيوتر"/>
    <x v="3"/>
    <x v="17"/>
    <n v="5"/>
    <n v="25000"/>
    <n v="0.05"/>
    <s v="كاش"/>
    <x v="1"/>
    <s v="عميل 69"/>
    <n v="125000"/>
    <n v="118750"/>
  </r>
  <r>
    <n v="10384"/>
    <s v="علي"/>
    <d v="2026-11-06T00:00:00"/>
    <x v="14"/>
    <s v="إكسسوارات"/>
    <x v="4"/>
    <x v="20"/>
    <n v="5"/>
    <n v="450"/>
    <n v="0.15"/>
    <s v="كاش"/>
    <x v="1"/>
    <s v="عميل 227"/>
    <n v="2250"/>
    <n v="1912.5"/>
  </r>
  <r>
    <n v="10385"/>
    <s v="محمود"/>
    <d v="2026-01-29T00:00:00"/>
    <x v="5"/>
    <s v="إكسسوارات"/>
    <x v="6"/>
    <x v="22"/>
    <n v="8"/>
    <n v="1200"/>
    <n v="0.1"/>
    <s v="فيزا"/>
    <x v="0"/>
    <s v="عميل 160"/>
    <n v="9600"/>
    <n v="8640"/>
  </r>
  <r>
    <n v="10386"/>
    <s v="أحمد"/>
    <d v="2026-03-30T00:00:00"/>
    <x v="10"/>
    <s v="شبكات"/>
    <x v="6"/>
    <x v="23"/>
    <n v="9"/>
    <n v="2200"/>
    <n v="0.1"/>
    <s v="فيزا"/>
    <x v="1"/>
    <s v="عميل 30"/>
    <n v="19800"/>
    <n v="17820"/>
  </r>
  <r>
    <n v="10387"/>
    <s v="مؤمن"/>
    <d v="2026-05-21T00:00:00"/>
    <x v="5"/>
    <s v="إكسسوارات"/>
    <x v="1"/>
    <x v="3"/>
    <n v="1"/>
    <n v="1200"/>
    <n v="0.05"/>
    <s v="تحويل بنكي"/>
    <x v="3"/>
    <s v="عميل 259"/>
    <n v="1200"/>
    <n v="1140"/>
  </r>
  <r>
    <n v="10388"/>
    <s v="كريم"/>
    <d v="2026-11-01T00:00:00"/>
    <x v="2"/>
    <s v="شاشات"/>
    <x v="0"/>
    <x v="0"/>
    <n v="4"/>
    <n v="7500"/>
    <n v="0.05"/>
    <s v="محفظة إلكترونية"/>
    <x v="1"/>
    <s v="عميل 243"/>
    <n v="30000"/>
    <n v="28500"/>
  </r>
  <r>
    <n v="10389"/>
    <s v="محمد"/>
    <d v="2026-05-26T00:00:00"/>
    <x v="12"/>
    <s v="تخزين"/>
    <x v="3"/>
    <x v="17"/>
    <n v="3"/>
    <n v="5200"/>
    <n v="0.05"/>
    <s v="كاش"/>
    <x v="3"/>
    <s v="عميل 26"/>
    <n v="15600"/>
    <n v="14820"/>
  </r>
  <r>
    <n v="10390"/>
    <s v="مؤمن"/>
    <d v="2026-05-18T00:00:00"/>
    <x v="3"/>
    <s v="أجهزة كمبيوتر"/>
    <x v="2"/>
    <x v="5"/>
    <n v="4"/>
    <n v="32000"/>
    <n v="0.15"/>
    <s v="محفظة إلكترونية"/>
    <x v="0"/>
    <s v="عميل 5"/>
    <n v="128000"/>
    <n v="108800"/>
  </r>
  <r>
    <n v="10391"/>
    <s v="مؤمن"/>
    <d v="2026-05-10T00:00:00"/>
    <x v="6"/>
    <s v="شاشات"/>
    <x v="5"/>
    <x v="25"/>
    <n v="10"/>
    <n v="9000"/>
    <n v="0"/>
    <s v="تحويل بنكي"/>
    <x v="2"/>
    <s v="عميل 217"/>
    <n v="90000"/>
    <n v="90000"/>
  </r>
  <r>
    <n v="10392"/>
    <s v="مؤمن"/>
    <d v="2026-08-27T00:00:00"/>
    <x v="11"/>
    <s v="طابعات"/>
    <x v="6"/>
    <x v="14"/>
    <n v="8"/>
    <n v="6500"/>
    <n v="0.05"/>
    <s v="تحويل بنكي"/>
    <x v="3"/>
    <s v="عميل 300"/>
    <n v="52000"/>
    <n v="49400"/>
  </r>
  <r>
    <n v="10393"/>
    <s v="حسن"/>
    <d v="2026-11-08T00:00:00"/>
    <x v="13"/>
    <s v="أجهزة كمبيوتر"/>
    <x v="1"/>
    <x v="6"/>
    <n v="9"/>
    <n v="28000"/>
    <n v="0.15"/>
    <s v="تحويل بنكي"/>
    <x v="2"/>
    <s v="عميل 56"/>
    <n v="252000"/>
    <n v="214200"/>
  </r>
  <r>
    <n v="10394"/>
    <s v="محمود"/>
    <d v="2026-05-22T00:00:00"/>
    <x v="6"/>
    <s v="شاشات"/>
    <x v="0"/>
    <x v="13"/>
    <n v="5"/>
    <n v="9000"/>
    <n v="0.15"/>
    <s v="تحويل بنكي"/>
    <x v="2"/>
    <s v="عميل 97"/>
    <n v="45000"/>
    <n v="38250"/>
  </r>
  <r>
    <n v="10395"/>
    <s v="محمود"/>
    <d v="2026-12-15T00:00:00"/>
    <x v="3"/>
    <s v="أجهزة كمبيوتر"/>
    <x v="2"/>
    <x v="5"/>
    <n v="10"/>
    <n v="32000"/>
    <n v="7.0000000000000007E-2"/>
    <s v="فيزا"/>
    <x v="0"/>
    <s v="عميل 255"/>
    <n v="320000"/>
    <n v="297600"/>
  </r>
  <r>
    <n v="10396"/>
    <s v="أحمد"/>
    <d v="2026-10-26T00:00:00"/>
    <x v="14"/>
    <s v="إكسسوارات"/>
    <x v="7"/>
    <x v="15"/>
    <n v="7"/>
    <n v="450"/>
    <n v="7.0000000000000007E-2"/>
    <s v="فيزا"/>
    <x v="2"/>
    <s v="عميل 114"/>
    <n v="3150"/>
    <n v="2929.5"/>
  </r>
  <r>
    <n v="10397"/>
    <s v="عمر"/>
    <d v="2026-03-29T00:00:00"/>
    <x v="0"/>
    <s v="تخزين"/>
    <x v="4"/>
    <x v="11"/>
    <n v="6"/>
    <n v="650"/>
    <n v="0.1"/>
    <s v="فيزا"/>
    <x v="2"/>
    <s v="عميل 50"/>
    <n v="3900"/>
    <n v="3510"/>
  </r>
  <r>
    <n v="10398"/>
    <s v="محمود"/>
    <d v="2026-12-02T00:00:00"/>
    <x v="6"/>
    <s v="شاشات"/>
    <x v="5"/>
    <x v="21"/>
    <n v="9"/>
    <n v="9000"/>
    <n v="0.03"/>
    <s v="كاش"/>
    <x v="1"/>
    <s v="عميل 182"/>
    <n v="81000"/>
    <n v="78570"/>
  </r>
  <r>
    <n v="10399"/>
    <s v="عمر"/>
    <d v="2026-10-27T00:00:00"/>
    <x v="5"/>
    <s v="إكسسوارات"/>
    <x v="7"/>
    <x v="15"/>
    <n v="6"/>
    <n v="1200"/>
    <n v="0.05"/>
    <s v="تحويل بنكي"/>
    <x v="3"/>
    <s v="عميل 61"/>
    <n v="7200"/>
    <n v="6840"/>
  </r>
  <r>
    <n v="10400"/>
    <s v="مصطفى"/>
    <d v="2026-03-03T00:00:00"/>
    <x v="6"/>
    <s v="شاشات"/>
    <x v="1"/>
    <x v="1"/>
    <n v="8"/>
    <n v="9000"/>
    <n v="0.03"/>
    <s v="محفظة إلكترونية"/>
    <x v="2"/>
    <s v="عميل 212"/>
    <n v="72000"/>
    <n v="69840"/>
  </r>
  <r>
    <n v="10401"/>
    <s v="علي"/>
    <d v="2026-10-19T00:00:00"/>
    <x v="1"/>
    <s v="أجهزة كمبيوتر"/>
    <x v="5"/>
    <x v="25"/>
    <n v="4"/>
    <n v="25000"/>
    <n v="0.05"/>
    <s v="محفظة إلكترونية"/>
    <x v="1"/>
    <s v="عميل 162"/>
    <n v="100000"/>
    <n v="95000"/>
  </r>
  <r>
    <n v="10402"/>
    <s v="يوسف"/>
    <d v="2026-06-10T00:00:00"/>
    <x v="8"/>
    <s v="إكسسوارات"/>
    <x v="5"/>
    <x v="9"/>
    <n v="8"/>
    <n v="1400"/>
    <n v="0.05"/>
    <s v="كاش"/>
    <x v="0"/>
    <s v="عميل 232"/>
    <n v="11200"/>
    <n v="10640"/>
  </r>
  <r>
    <n v="10403"/>
    <s v="كريم"/>
    <d v="2026-02-15T00:00:00"/>
    <x v="14"/>
    <s v="إكسسوارات"/>
    <x v="2"/>
    <x v="5"/>
    <n v="10"/>
    <n v="450"/>
    <n v="0.03"/>
    <s v="فيزا"/>
    <x v="3"/>
    <s v="عميل 220"/>
    <n v="4500"/>
    <n v="4365"/>
  </r>
  <r>
    <n v="10404"/>
    <s v="أحمد"/>
    <d v="2026-10-01T00:00:00"/>
    <x v="2"/>
    <s v="شاشات"/>
    <x v="6"/>
    <x v="14"/>
    <n v="7"/>
    <n v="7500"/>
    <n v="0"/>
    <s v="فيزا"/>
    <x v="2"/>
    <s v="عميل 8"/>
    <n v="52500"/>
    <n v="52500"/>
  </r>
  <r>
    <n v="10405"/>
    <s v="أحمد"/>
    <d v="2026-11-17T00:00:00"/>
    <x v="11"/>
    <s v="طابعات"/>
    <x v="3"/>
    <x v="24"/>
    <n v="4"/>
    <n v="6500"/>
    <n v="0"/>
    <s v="فيزا"/>
    <x v="1"/>
    <s v="عميل 177"/>
    <n v="26000"/>
    <n v="26000"/>
  </r>
  <r>
    <n v="10406"/>
    <s v="حسن"/>
    <d v="2026-06-06T00:00:00"/>
    <x v="14"/>
    <s v="إكسسوارات"/>
    <x v="5"/>
    <x v="9"/>
    <n v="7"/>
    <n v="450"/>
    <n v="0.1"/>
    <s v="فيزا"/>
    <x v="0"/>
    <s v="عميل 24"/>
    <n v="3150"/>
    <n v="2835"/>
  </r>
  <r>
    <n v="10407"/>
    <s v="مصطفى"/>
    <d v="2026-06-22T00:00:00"/>
    <x v="14"/>
    <s v="إكسسوارات"/>
    <x v="7"/>
    <x v="15"/>
    <n v="9"/>
    <n v="450"/>
    <n v="0.1"/>
    <s v="محفظة إلكترونية"/>
    <x v="1"/>
    <s v="عميل 176"/>
    <n v="4050"/>
    <n v="3645"/>
  </r>
  <r>
    <n v="10408"/>
    <s v="علي"/>
    <d v="2026-01-10T00:00:00"/>
    <x v="11"/>
    <s v="طابعات"/>
    <x v="4"/>
    <x v="20"/>
    <n v="4"/>
    <n v="6500"/>
    <n v="0.03"/>
    <s v="فيزا"/>
    <x v="1"/>
    <s v="عميل 68"/>
    <n v="26000"/>
    <n v="25220"/>
  </r>
  <r>
    <n v="10409"/>
    <s v="أحمد"/>
    <d v="2026-07-12T00:00:00"/>
    <x v="5"/>
    <s v="إكسسوارات"/>
    <x v="1"/>
    <x v="10"/>
    <n v="2"/>
    <n v="1200"/>
    <n v="0.05"/>
    <s v="تحويل بنكي"/>
    <x v="0"/>
    <s v="عميل 25"/>
    <n v="2400"/>
    <n v="2280"/>
  </r>
  <r>
    <n v="10410"/>
    <s v="محمد"/>
    <d v="2026-08-02T00:00:00"/>
    <x v="0"/>
    <s v="تخزين"/>
    <x v="0"/>
    <x v="0"/>
    <n v="1"/>
    <n v="650"/>
    <n v="0.15"/>
    <s v="محفظة إلكترونية"/>
    <x v="3"/>
    <s v="عميل 64"/>
    <n v="650"/>
    <n v="552.5"/>
  </r>
  <r>
    <n v="10411"/>
    <s v="أحمد"/>
    <d v="2026-06-04T00:00:00"/>
    <x v="7"/>
    <s v="تخزين"/>
    <x v="7"/>
    <x v="15"/>
    <n v="3"/>
    <n v="3200"/>
    <n v="0.03"/>
    <s v="محفظة إلكترونية"/>
    <x v="0"/>
    <s v="عميل 267"/>
    <n v="9600"/>
    <n v="9312"/>
  </r>
  <r>
    <n v="10412"/>
    <s v="حسن"/>
    <d v="2026-03-02T00:00:00"/>
    <x v="14"/>
    <s v="إكسسوارات"/>
    <x v="5"/>
    <x v="8"/>
    <n v="2"/>
    <n v="450"/>
    <n v="0.1"/>
    <s v="تحويل بنكي"/>
    <x v="0"/>
    <s v="عميل 55"/>
    <n v="900"/>
    <n v="810"/>
  </r>
  <r>
    <n v="10413"/>
    <s v="مصطفى"/>
    <d v="2026-04-14T00:00:00"/>
    <x v="6"/>
    <s v="شاشات"/>
    <x v="2"/>
    <x v="12"/>
    <n v="4"/>
    <n v="9000"/>
    <n v="0.05"/>
    <s v="تحويل بنكي"/>
    <x v="3"/>
    <s v="عميل 152"/>
    <n v="36000"/>
    <n v="34200"/>
  </r>
  <r>
    <n v="10414"/>
    <s v="كريم"/>
    <d v="2026-06-19T00:00:00"/>
    <x v="3"/>
    <s v="أجهزة كمبيوتر"/>
    <x v="1"/>
    <x v="3"/>
    <n v="4"/>
    <n v="32000"/>
    <n v="0.15"/>
    <s v="فيزا"/>
    <x v="0"/>
    <s v="عميل 7"/>
    <n v="128000"/>
    <n v="108800"/>
  </r>
  <r>
    <n v="10415"/>
    <s v="كريم"/>
    <d v="2026-03-18T00:00:00"/>
    <x v="0"/>
    <s v="تخزين"/>
    <x v="0"/>
    <x v="0"/>
    <n v="10"/>
    <n v="650"/>
    <n v="0.15"/>
    <s v="كاش"/>
    <x v="0"/>
    <s v="عميل 52"/>
    <n v="6500"/>
    <n v="5525"/>
  </r>
  <r>
    <n v="10416"/>
    <s v="عمر"/>
    <d v="2026-05-16T00:00:00"/>
    <x v="11"/>
    <s v="طابعات"/>
    <x v="7"/>
    <x v="19"/>
    <n v="4"/>
    <n v="6500"/>
    <n v="7.0000000000000007E-2"/>
    <s v="محفظة إلكترونية"/>
    <x v="0"/>
    <s v="عميل 52"/>
    <n v="26000"/>
    <n v="24180"/>
  </r>
  <r>
    <n v="10417"/>
    <s v="محمود"/>
    <d v="2026-08-07T00:00:00"/>
    <x v="8"/>
    <s v="إكسسوارات"/>
    <x v="5"/>
    <x v="9"/>
    <n v="5"/>
    <n v="1400"/>
    <n v="0.05"/>
    <s v="كاش"/>
    <x v="0"/>
    <s v="عميل 24"/>
    <n v="7000"/>
    <n v="6650"/>
  </r>
  <r>
    <n v="10418"/>
    <s v="كريم"/>
    <d v="2026-11-15T00:00:00"/>
    <x v="1"/>
    <s v="أجهزة كمبيوتر"/>
    <x v="5"/>
    <x v="25"/>
    <n v="6"/>
    <n v="25000"/>
    <n v="0.05"/>
    <s v="تحويل بنكي"/>
    <x v="0"/>
    <s v="عميل 191"/>
    <n v="150000"/>
    <n v="142500"/>
  </r>
  <r>
    <n v="10419"/>
    <s v="علي"/>
    <d v="2026-08-22T00:00:00"/>
    <x v="8"/>
    <s v="إكسسوارات"/>
    <x v="3"/>
    <x v="4"/>
    <n v="2"/>
    <n v="1400"/>
    <n v="7.0000000000000007E-2"/>
    <s v="تحويل بنكي"/>
    <x v="3"/>
    <s v="عميل 245"/>
    <n v="2800"/>
    <n v="2604"/>
  </r>
  <r>
    <n v="10420"/>
    <s v="يوسف"/>
    <d v="2026-12-23T00:00:00"/>
    <x v="4"/>
    <s v="شبكات"/>
    <x v="6"/>
    <x v="22"/>
    <n v="3"/>
    <n v="150"/>
    <n v="0"/>
    <s v="كاش"/>
    <x v="1"/>
    <s v="عميل 54"/>
    <n v="450"/>
    <n v="450"/>
  </r>
  <r>
    <n v="10421"/>
    <s v="حسن"/>
    <d v="2026-07-14T00:00:00"/>
    <x v="2"/>
    <s v="شاشات"/>
    <x v="4"/>
    <x v="11"/>
    <n v="8"/>
    <n v="7500"/>
    <n v="0.03"/>
    <s v="تحويل بنكي"/>
    <x v="0"/>
    <s v="عميل 67"/>
    <n v="60000"/>
    <n v="58200"/>
  </r>
  <r>
    <n v="10422"/>
    <s v="أحمد"/>
    <d v="2026-02-02T00:00:00"/>
    <x v="6"/>
    <s v="شاشات"/>
    <x v="4"/>
    <x v="7"/>
    <n v="7"/>
    <n v="9000"/>
    <n v="7.0000000000000007E-2"/>
    <s v="تحويل بنكي"/>
    <x v="2"/>
    <s v="عميل 7"/>
    <n v="63000"/>
    <n v="58589.999999999993"/>
  </r>
  <r>
    <n v="10423"/>
    <s v="مصطفى"/>
    <d v="2026-12-19T00:00:00"/>
    <x v="10"/>
    <s v="شبكات"/>
    <x v="2"/>
    <x v="12"/>
    <n v="6"/>
    <n v="2200"/>
    <n v="0.1"/>
    <s v="كاش"/>
    <x v="3"/>
    <s v="عميل 128"/>
    <n v="13200"/>
    <n v="11880"/>
  </r>
  <r>
    <n v="10424"/>
    <s v="مصطفى"/>
    <d v="2026-11-10T00:00:00"/>
    <x v="6"/>
    <s v="شاشات"/>
    <x v="3"/>
    <x v="24"/>
    <n v="7"/>
    <n v="9000"/>
    <n v="0.03"/>
    <s v="كاش"/>
    <x v="0"/>
    <s v="عميل 81"/>
    <n v="63000"/>
    <n v="61110"/>
  </r>
  <r>
    <n v="10425"/>
    <s v="كريم"/>
    <d v="2026-06-14T00:00:00"/>
    <x v="7"/>
    <s v="تخزين"/>
    <x v="4"/>
    <x v="20"/>
    <n v="3"/>
    <n v="3200"/>
    <n v="0"/>
    <s v="فيزا"/>
    <x v="2"/>
    <s v="عميل 143"/>
    <n v="9600"/>
    <n v="9600"/>
  </r>
  <r>
    <n v="10426"/>
    <s v="مؤمن"/>
    <d v="2026-02-10T00:00:00"/>
    <x v="1"/>
    <s v="أجهزة كمبيوتر"/>
    <x v="2"/>
    <x v="12"/>
    <n v="7"/>
    <n v="25000"/>
    <n v="7.0000000000000007E-2"/>
    <s v="محفظة إلكترونية"/>
    <x v="3"/>
    <s v="عميل 294"/>
    <n v="175000"/>
    <n v="162750"/>
  </r>
  <r>
    <n v="10427"/>
    <s v="محمد"/>
    <d v="2026-09-12T00:00:00"/>
    <x v="6"/>
    <s v="شاشات"/>
    <x v="0"/>
    <x v="26"/>
    <n v="8"/>
    <n v="9000"/>
    <n v="0.05"/>
    <s v="كاش"/>
    <x v="0"/>
    <s v="عميل 207"/>
    <n v="72000"/>
    <n v="68400"/>
  </r>
  <r>
    <n v="10428"/>
    <s v="حسن"/>
    <d v="2026-11-23T00:00:00"/>
    <x v="2"/>
    <s v="شاشات"/>
    <x v="1"/>
    <x v="1"/>
    <n v="2"/>
    <n v="7500"/>
    <n v="0.1"/>
    <s v="تحويل بنكي"/>
    <x v="1"/>
    <s v="عميل 234"/>
    <n v="15000"/>
    <n v="13500"/>
  </r>
  <r>
    <n v="10429"/>
    <s v="محمود"/>
    <d v="2026-10-14T00:00:00"/>
    <x v="9"/>
    <s v="إكسسوارات"/>
    <x v="3"/>
    <x v="4"/>
    <n v="4"/>
    <n v="1800"/>
    <n v="7.0000000000000007E-2"/>
    <s v="محفظة إلكترونية"/>
    <x v="2"/>
    <s v="عميل 232"/>
    <n v="7200"/>
    <n v="6696"/>
  </r>
  <r>
    <n v="10430"/>
    <s v="محمود"/>
    <d v="2026-11-21T00:00:00"/>
    <x v="13"/>
    <s v="أجهزة كمبيوتر"/>
    <x v="0"/>
    <x v="16"/>
    <n v="1"/>
    <n v="28000"/>
    <n v="0.05"/>
    <s v="تحويل بنكي"/>
    <x v="2"/>
    <s v="عميل 55"/>
    <n v="28000"/>
    <n v="26600"/>
  </r>
  <r>
    <n v="10431"/>
    <s v="علي"/>
    <d v="2026-02-24T00:00:00"/>
    <x v="1"/>
    <s v="أجهزة كمبيوتر"/>
    <x v="5"/>
    <x v="8"/>
    <n v="3"/>
    <n v="25000"/>
    <n v="0.15"/>
    <s v="تحويل بنكي"/>
    <x v="1"/>
    <s v="عميل 97"/>
    <n v="75000"/>
    <n v="63750"/>
  </r>
  <r>
    <n v="10432"/>
    <s v="محمود"/>
    <d v="2026-02-25T00:00:00"/>
    <x v="13"/>
    <s v="أجهزة كمبيوتر"/>
    <x v="6"/>
    <x v="23"/>
    <n v="8"/>
    <n v="28000"/>
    <n v="0.03"/>
    <s v="محفظة إلكترونية"/>
    <x v="0"/>
    <s v="عميل 64"/>
    <n v="224000"/>
    <n v="217280"/>
  </r>
  <r>
    <n v="10433"/>
    <s v="يوسف"/>
    <d v="2026-09-13T00:00:00"/>
    <x v="4"/>
    <s v="شبكات"/>
    <x v="4"/>
    <x v="20"/>
    <n v="10"/>
    <n v="150"/>
    <n v="0.1"/>
    <s v="كاش"/>
    <x v="0"/>
    <s v="عميل 284"/>
    <n v="1500"/>
    <n v="1350"/>
  </r>
  <r>
    <n v="10434"/>
    <s v="يوسف"/>
    <d v="2026-12-21T00:00:00"/>
    <x v="11"/>
    <s v="طابعات"/>
    <x v="6"/>
    <x v="22"/>
    <n v="8"/>
    <n v="6500"/>
    <n v="0.1"/>
    <s v="فيزا"/>
    <x v="1"/>
    <s v="عميل 54"/>
    <n v="52000"/>
    <n v="46800"/>
  </r>
  <r>
    <n v="10435"/>
    <s v="حسن"/>
    <d v="2026-12-21T00:00:00"/>
    <x v="2"/>
    <s v="شاشات"/>
    <x v="3"/>
    <x v="24"/>
    <n v="7"/>
    <n v="7500"/>
    <n v="7.0000000000000007E-2"/>
    <s v="فيزا"/>
    <x v="2"/>
    <s v="عميل 204"/>
    <n v="52500"/>
    <n v="48825"/>
  </r>
  <r>
    <n v="10436"/>
    <s v="علي"/>
    <d v="2026-11-05T00:00:00"/>
    <x v="9"/>
    <s v="إكسسوارات"/>
    <x v="7"/>
    <x v="15"/>
    <n v="3"/>
    <n v="1800"/>
    <n v="0.03"/>
    <s v="تحويل بنكي"/>
    <x v="2"/>
    <s v="عميل 284"/>
    <n v="5400"/>
    <n v="5238"/>
  </r>
  <r>
    <n v="10437"/>
    <s v="عمر"/>
    <d v="2026-12-18T00:00:00"/>
    <x v="0"/>
    <s v="تخزين"/>
    <x v="2"/>
    <x v="5"/>
    <n v="4"/>
    <n v="650"/>
    <n v="0.1"/>
    <s v="تحويل بنكي"/>
    <x v="1"/>
    <s v="عميل 92"/>
    <n v="2600"/>
    <n v="2340"/>
  </r>
  <r>
    <n v="10438"/>
    <s v="مصطفى"/>
    <d v="2026-09-03T00:00:00"/>
    <x v="7"/>
    <s v="تخزين"/>
    <x v="3"/>
    <x v="24"/>
    <n v="2"/>
    <n v="3200"/>
    <n v="0.05"/>
    <s v="محفظة إلكترونية"/>
    <x v="2"/>
    <s v="عميل 217"/>
    <n v="6400"/>
    <n v="6080"/>
  </r>
  <r>
    <n v="10439"/>
    <s v="يوسف"/>
    <d v="2026-01-28T00:00:00"/>
    <x v="4"/>
    <s v="شبكات"/>
    <x v="1"/>
    <x v="1"/>
    <n v="1"/>
    <n v="150"/>
    <n v="7.0000000000000007E-2"/>
    <s v="كاش"/>
    <x v="1"/>
    <s v="عميل 137"/>
    <n v="150"/>
    <n v="139.5"/>
  </r>
  <r>
    <n v="10440"/>
    <s v="أحمد"/>
    <d v="2026-12-20T00:00:00"/>
    <x v="4"/>
    <s v="شبكات"/>
    <x v="5"/>
    <x v="21"/>
    <n v="5"/>
    <n v="150"/>
    <n v="0.03"/>
    <s v="تحويل بنكي"/>
    <x v="1"/>
    <s v="عميل 278"/>
    <n v="750"/>
    <n v="727.5"/>
  </r>
  <r>
    <n v="10441"/>
    <s v="مصطفى"/>
    <d v="2026-04-25T00:00:00"/>
    <x v="1"/>
    <s v="أجهزة كمبيوتر"/>
    <x v="3"/>
    <x v="17"/>
    <n v="2"/>
    <n v="25000"/>
    <n v="0.1"/>
    <s v="محفظة إلكترونية"/>
    <x v="1"/>
    <s v="عميل 262"/>
    <n v="50000"/>
    <n v="45000"/>
  </r>
  <r>
    <n v="10442"/>
    <s v="علي"/>
    <d v="2026-08-02T00:00:00"/>
    <x v="4"/>
    <s v="شبكات"/>
    <x v="7"/>
    <x v="19"/>
    <n v="1"/>
    <n v="150"/>
    <n v="7.0000000000000007E-2"/>
    <s v="تحويل بنكي"/>
    <x v="0"/>
    <s v="عميل 7"/>
    <n v="150"/>
    <n v="139.5"/>
  </r>
  <r>
    <n v="10443"/>
    <s v="مؤمن"/>
    <d v="2026-11-21T00:00:00"/>
    <x v="10"/>
    <s v="شبكات"/>
    <x v="7"/>
    <x v="18"/>
    <n v="10"/>
    <n v="2200"/>
    <n v="7.0000000000000007E-2"/>
    <s v="تحويل بنكي"/>
    <x v="1"/>
    <s v="عميل 100"/>
    <n v="22000"/>
    <n v="20460"/>
  </r>
  <r>
    <n v="10444"/>
    <s v="يوسف"/>
    <d v="2026-09-21T00:00:00"/>
    <x v="14"/>
    <s v="إكسسوارات"/>
    <x v="4"/>
    <x v="7"/>
    <n v="2"/>
    <n v="450"/>
    <n v="0.03"/>
    <s v="كاش"/>
    <x v="3"/>
    <s v="عميل 21"/>
    <n v="900"/>
    <n v="873"/>
  </r>
  <r>
    <n v="10445"/>
    <s v="يوسف"/>
    <d v="2026-10-27T00:00:00"/>
    <x v="2"/>
    <s v="شاشات"/>
    <x v="7"/>
    <x v="19"/>
    <n v="5"/>
    <n v="7500"/>
    <n v="0.03"/>
    <s v="تحويل بنكي"/>
    <x v="0"/>
    <s v="عميل 170"/>
    <n v="37500"/>
    <n v="36375"/>
  </r>
  <r>
    <n v="10446"/>
    <s v="حسن"/>
    <d v="2026-01-27T00:00:00"/>
    <x v="6"/>
    <s v="شاشات"/>
    <x v="5"/>
    <x v="9"/>
    <n v="3"/>
    <n v="9000"/>
    <n v="0.05"/>
    <s v="تحويل بنكي"/>
    <x v="3"/>
    <s v="عميل 294"/>
    <n v="27000"/>
    <n v="25650"/>
  </r>
  <r>
    <n v="10447"/>
    <s v="مؤمن"/>
    <d v="2026-04-05T00:00:00"/>
    <x v="7"/>
    <s v="تخزين"/>
    <x v="3"/>
    <x v="4"/>
    <n v="6"/>
    <n v="3200"/>
    <n v="0.1"/>
    <s v="كاش"/>
    <x v="1"/>
    <s v="عميل 213"/>
    <n v="19200"/>
    <n v="17280"/>
  </r>
  <r>
    <n v="10448"/>
    <s v="مؤمن"/>
    <d v="2026-12-06T00:00:00"/>
    <x v="7"/>
    <s v="تخزين"/>
    <x v="6"/>
    <x v="23"/>
    <n v="6"/>
    <n v="3200"/>
    <n v="0.03"/>
    <s v="تحويل بنكي"/>
    <x v="2"/>
    <s v="عميل 185"/>
    <n v="19200"/>
    <n v="18624"/>
  </r>
  <r>
    <n v="10449"/>
    <s v="مصطفى"/>
    <d v="2026-11-29T00:00:00"/>
    <x v="14"/>
    <s v="إكسسوارات"/>
    <x v="2"/>
    <x v="12"/>
    <n v="9"/>
    <n v="450"/>
    <n v="7.0000000000000007E-2"/>
    <s v="كاش"/>
    <x v="0"/>
    <s v="عميل 178"/>
    <n v="4050"/>
    <n v="3766.4999999999995"/>
  </r>
  <r>
    <n v="10450"/>
    <s v="مؤمن"/>
    <d v="2026-01-21T00:00:00"/>
    <x v="6"/>
    <s v="شاشات"/>
    <x v="2"/>
    <x v="12"/>
    <n v="10"/>
    <n v="9000"/>
    <n v="0.1"/>
    <s v="تحويل بنكي"/>
    <x v="3"/>
    <s v="عميل 59"/>
    <n v="90000"/>
    <n v="81000"/>
  </r>
  <r>
    <n v="10451"/>
    <s v="مصطفى"/>
    <d v="2026-07-11T00:00:00"/>
    <x v="2"/>
    <s v="شاشات"/>
    <x v="7"/>
    <x v="19"/>
    <n v="5"/>
    <n v="7500"/>
    <n v="0"/>
    <s v="محفظة إلكترونية"/>
    <x v="3"/>
    <s v="عميل 23"/>
    <n v="37500"/>
    <n v="37500"/>
  </r>
  <r>
    <n v="10452"/>
    <s v="محمد"/>
    <d v="2026-03-27T00:00:00"/>
    <x v="14"/>
    <s v="إكسسوارات"/>
    <x v="2"/>
    <x v="2"/>
    <n v="9"/>
    <n v="450"/>
    <n v="0"/>
    <s v="كاش"/>
    <x v="0"/>
    <s v="عميل 108"/>
    <n v="4050"/>
    <n v="4050"/>
  </r>
  <r>
    <n v="10453"/>
    <s v="مؤمن"/>
    <d v="2026-10-03T00:00:00"/>
    <x v="0"/>
    <s v="تخزين"/>
    <x v="2"/>
    <x v="12"/>
    <n v="7"/>
    <n v="650"/>
    <n v="0"/>
    <s v="محفظة إلكترونية"/>
    <x v="0"/>
    <s v="عميل 79"/>
    <n v="4550"/>
    <n v="4550"/>
  </r>
  <r>
    <n v="10454"/>
    <s v="محمد"/>
    <d v="2026-02-07T00:00:00"/>
    <x v="1"/>
    <s v="أجهزة كمبيوتر"/>
    <x v="4"/>
    <x v="11"/>
    <n v="6"/>
    <n v="25000"/>
    <n v="0"/>
    <s v="كاش"/>
    <x v="1"/>
    <s v="عميل 129"/>
    <n v="150000"/>
    <n v="150000"/>
  </r>
  <r>
    <n v="10455"/>
    <s v="علي"/>
    <d v="2026-08-19T00:00:00"/>
    <x v="7"/>
    <s v="تخزين"/>
    <x v="0"/>
    <x v="16"/>
    <n v="5"/>
    <n v="3200"/>
    <n v="7.0000000000000007E-2"/>
    <s v="محفظة إلكترونية"/>
    <x v="3"/>
    <s v="عميل 162"/>
    <n v="16000"/>
    <n v="14879.999999999998"/>
  </r>
  <r>
    <n v="10456"/>
    <s v="أحمد"/>
    <d v="2026-11-25T00:00:00"/>
    <x v="1"/>
    <s v="أجهزة كمبيوتر"/>
    <x v="6"/>
    <x v="22"/>
    <n v="2"/>
    <n v="25000"/>
    <n v="0.1"/>
    <s v="كاش"/>
    <x v="0"/>
    <s v="عميل 38"/>
    <n v="50000"/>
    <n v="45000"/>
  </r>
  <r>
    <n v="10457"/>
    <s v="محمد"/>
    <d v="2026-05-25T00:00:00"/>
    <x v="9"/>
    <s v="إكسسوارات"/>
    <x v="0"/>
    <x v="13"/>
    <n v="5"/>
    <n v="1800"/>
    <n v="0.1"/>
    <s v="محفظة إلكترونية"/>
    <x v="3"/>
    <s v="عميل 203"/>
    <n v="9000"/>
    <n v="8100"/>
  </r>
  <r>
    <n v="10458"/>
    <s v="مؤمن"/>
    <d v="2026-03-11T00:00:00"/>
    <x v="8"/>
    <s v="إكسسوارات"/>
    <x v="1"/>
    <x v="3"/>
    <n v="3"/>
    <n v="1400"/>
    <n v="0.1"/>
    <s v="محفظة إلكترونية"/>
    <x v="2"/>
    <s v="عميل 74"/>
    <n v="4200"/>
    <n v="3780"/>
  </r>
  <r>
    <n v="10459"/>
    <s v="يوسف"/>
    <d v="2026-03-05T00:00:00"/>
    <x v="14"/>
    <s v="إكسسوارات"/>
    <x v="3"/>
    <x v="4"/>
    <n v="9"/>
    <n v="450"/>
    <n v="0.1"/>
    <s v="كاش"/>
    <x v="0"/>
    <s v="عميل 294"/>
    <n v="4050"/>
    <n v="3645"/>
  </r>
  <r>
    <n v="10460"/>
    <s v="عمر"/>
    <d v="2026-04-18T00:00:00"/>
    <x v="12"/>
    <s v="تخزين"/>
    <x v="6"/>
    <x v="22"/>
    <n v="9"/>
    <n v="5200"/>
    <n v="0"/>
    <s v="تحويل بنكي"/>
    <x v="1"/>
    <s v="عميل 212"/>
    <n v="46800"/>
    <n v="46800"/>
  </r>
  <r>
    <n v="10461"/>
    <s v="حسن"/>
    <d v="2026-05-10T00:00:00"/>
    <x v="11"/>
    <s v="طابعات"/>
    <x v="5"/>
    <x v="25"/>
    <n v="3"/>
    <n v="6500"/>
    <n v="0.03"/>
    <s v="فيزا"/>
    <x v="0"/>
    <s v="عميل 93"/>
    <n v="19500"/>
    <n v="18915"/>
  </r>
  <r>
    <n v="10462"/>
    <s v="عمر"/>
    <d v="2026-12-10T00:00:00"/>
    <x v="0"/>
    <s v="تخزين"/>
    <x v="1"/>
    <x v="3"/>
    <n v="9"/>
    <n v="650"/>
    <n v="0"/>
    <s v="كاش"/>
    <x v="2"/>
    <s v="عميل 51"/>
    <n v="5850"/>
    <n v="5850"/>
  </r>
  <r>
    <n v="10463"/>
    <s v="مؤمن"/>
    <d v="2026-02-21T00:00:00"/>
    <x v="5"/>
    <s v="إكسسوارات"/>
    <x v="4"/>
    <x v="20"/>
    <n v="6"/>
    <n v="1200"/>
    <n v="0.03"/>
    <s v="تحويل بنكي"/>
    <x v="0"/>
    <s v="عميل 100"/>
    <n v="7200"/>
    <n v="6984"/>
  </r>
  <r>
    <n v="10464"/>
    <s v="عمر"/>
    <d v="2026-12-22T00:00:00"/>
    <x v="9"/>
    <s v="إكسسوارات"/>
    <x v="4"/>
    <x v="20"/>
    <n v="6"/>
    <n v="1800"/>
    <n v="0.1"/>
    <s v="فيزا"/>
    <x v="2"/>
    <s v="عميل 162"/>
    <n v="10800"/>
    <n v="9720"/>
  </r>
  <r>
    <n v="10465"/>
    <s v="مؤمن"/>
    <d v="2026-12-31T00:00:00"/>
    <x v="2"/>
    <s v="شاشات"/>
    <x v="5"/>
    <x v="9"/>
    <n v="6"/>
    <n v="7500"/>
    <n v="0.03"/>
    <s v="محفظة إلكترونية"/>
    <x v="2"/>
    <s v="عميل 185"/>
    <n v="45000"/>
    <n v="43650"/>
  </r>
  <r>
    <n v="10466"/>
    <s v="محمود"/>
    <d v="2026-06-06T00:00:00"/>
    <x v="3"/>
    <s v="أجهزة كمبيوتر"/>
    <x v="3"/>
    <x v="17"/>
    <n v="8"/>
    <n v="32000"/>
    <n v="7.0000000000000007E-2"/>
    <s v="محفظة إلكترونية"/>
    <x v="0"/>
    <s v="عميل 90"/>
    <n v="256000"/>
    <n v="238079.99999999997"/>
  </r>
  <r>
    <n v="10467"/>
    <s v="مؤمن"/>
    <d v="2026-05-15T00:00:00"/>
    <x v="0"/>
    <s v="تخزين"/>
    <x v="0"/>
    <x v="13"/>
    <n v="3"/>
    <n v="650"/>
    <n v="0.1"/>
    <s v="كاش"/>
    <x v="0"/>
    <s v="عميل 10"/>
    <n v="1950"/>
    <n v="1755"/>
  </r>
  <r>
    <n v="10468"/>
    <s v="أحمد"/>
    <d v="2026-10-10T00:00:00"/>
    <x v="8"/>
    <s v="إكسسوارات"/>
    <x v="1"/>
    <x v="3"/>
    <n v="10"/>
    <n v="1400"/>
    <n v="0.03"/>
    <s v="تحويل بنكي"/>
    <x v="3"/>
    <s v="عميل 77"/>
    <n v="14000"/>
    <n v="13580"/>
  </r>
  <r>
    <n v="10469"/>
    <s v="عمر"/>
    <d v="2026-03-10T00:00:00"/>
    <x v="9"/>
    <s v="إكسسوارات"/>
    <x v="6"/>
    <x v="23"/>
    <n v="10"/>
    <n v="1800"/>
    <n v="0.15"/>
    <s v="محفظة إلكترونية"/>
    <x v="0"/>
    <s v="عميل 204"/>
    <n v="18000"/>
    <n v="15300"/>
  </r>
  <r>
    <n v="10470"/>
    <s v="يوسف"/>
    <d v="2026-09-21T00:00:00"/>
    <x v="9"/>
    <s v="إكسسوارات"/>
    <x v="1"/>
    <x v="10"/>
    <n v="10"/>
    <n v="1800"/>
    <n v="0.15"/>
    <s v="فيزا"/>
    <x v="3"/>
    <s v="عميل 82"/>
    <n v="18000"/>
    <n v="15300"/>
  </r>
  <r>
    <n v="10471"/>
    <s v="مؤمن"/>
    <d v="2026-09-07T00:00:00"/>
    <x v="3"/>
    <s v="أجهزة كمبيوتر"/>
    <x v="5"/>
    <x v="8"/>
    <n v="6"/>
    <n v="32000"/>
    <n v="0"/>
    <s v="فيزا"/>
    <x v="0"/>
    <s v="عميل 136"/>
    <n v="192000"/>
    <n v="192000"/>
  </r>
  <r>
    <n v="10472"/>
    <s v="محمود"/>
    <d v="2026-07-18T00:00:00"/>
    <x v="9"/>
    <s v="إكسسوارات"/>
    <x v="2"/>
    <x v="5"/>
    <n v="4"/>
    <n v="1800"/>
    <n v="0.1"/>
    <s v="محفظة إلكترونية"/>
    <x v="3"/>
    <s v="عميل 24"/>
    <n v="7200"/>
    <n v="6480"/>
  </r>
  <r>
    <n v="10473"/>
    <s v="عمر"/>
    <d v="2026-05-15T00:00:00"/>
    <x v="1"/>
    <s v="أجهزة كمبيوتر"/>
    <x v="3"/>
    <x v="4"/>
    <n v="9"/>
    <n v="25000"/>
    <n v="0.15"/>
    <s v="فيزا"/>
    <x v="3"/>
    <s v="عميل 194"/>
    <n v="225000"/>
    <n v="191250"/>
  </r>
  <r>
    <n v="10474"/>
    <s v="مصطفى"/>
    <d v="2026-07-27T00:00:00"/>
    <x v="9"/>
    <s v="إكسسوارات"/>
    <x v="0"/>
    <x v="13"/>
    <n v="7"/>
    <n v="1800"/>
    <n v="0.03"/>
    <s v="تحويل بنكي"/>
    <x v="2"/>
    <s v="عميل 250"/>
    <n v="12600"/>
    <n v="12222"/>
  </r>
  <r>
    <n v="10475"/>
    <s v="يوسف"/>
    <d v="2026-08-14T00:00:00"/>
    <x v="4"/>
    <s v="شبكات"/>
    <x v="4"/>
    <x v="11"/>
    <n v="1"/>
    <n v="150"/>
    <n v="0.1"/>
    <s v="فيزا"/>
    <x v="1"/>
    <s v="عميل 40"/>
    <n v="150"/>
    <n v="135"/>
  </r>
  <r>
    <n v="10476"/>
    <s v="يوسف"/>
    <d v="2026-07-05T00:00:00"/>
    <x v="7"/>
    <s v="تخزين"/>
    <x v="7"/>
    <x v="18"/>
    <n v="3"/>
    <n v="3200"/>
    <n v="0.03"/>
    <s v="كاش"/>
    <x v="1"/>
    <s v="عميل 213"/>
    <n v="9600"/>
    <n v="9312"/>
  </r>
  <r>
    <n v="10477"/>
    <s v="كريم"/>
    <d v="2026-09-03T00:00:00"/>
    <x v="4"/>
    <s v="شبكات"/>
    <x v="3"/>
    <x v="24"/>
    <n v="2"/>
    <n v="150"/>
    <n v="7.0000000000000007E-2"/>
    <s v="فيزا"/>
    <x v="1"/>
    <s v="عميل 211"/>
    <n v="300"/>
    <n v="279"/>
  </r>
  <r>
    <n v="10478"/>
    <s v="حسن"/>
    <d v="2026-03-24T00:00:00"/>
    <x v="1"/>
    <s v="أجهزة كمبيوتر"/>
    <x v="2"/>
    <x v="5"/>
    <n v="3"/>
    <n v="25000"/>
    <n v="0.1"/>
    <s v="فيزا"/>
    <x v="0"/>
    <s v="عميل 294"/>
    <n v="75000"/>
    <n v="67500"/>
  </r>
  <r>
    <n v="10479"/>
    <s v="مصطفى"/>
    <d v="2026-07-27T00:00:00"/>
    <x v="3"/>
    <s v="أجهزة كمبيوتر"/>
    <x v="1"/>
    <x v="10"/>
    <n v="5"/>
    <n v="32000"/>
    <n v="0.03"/>
    <s v="كاش"/>
    <x v="2"/>
    <s v="عميل 44"/>
    <n v="160000"/>
    <n v="155200"/>
  </r>
  <r>
    <n v="10480"/>
    <s v="يوسف"/>
    <d v="2026-04-23T00:00:00"/>
    <x v="5"/>
    <s v="إكسسوارات"/>
    <x v="4"/>
    <x v="11"/>
    <n v="8"/>
    <n v="1200"/>
    <n v="7.0000000000000007E-2"/>
    <s v="محفظة إلكترونية"/>
    <x v="1"/>
    <s v="عميل 299"/>
    <n v="9600"/>
    <n v="8928"/>
  </r>
  <r>
    <n v="10481"/>
    <s v="محمود"/>
    <d v="2026-08-21T00:00:00"/>
    <x v="8"/>
    <s v="إكسسوارات"/>
    <x v="5"/>
    <x v="21"/>
    <n v="3"/>
    <n v="1400"/>
    <n v="0.15"/>
    <s v="كاش"/>
    <x v="1"/>
    <s v="عميل 194"/>
    <n v="4200"/>
    <n v="3570"/>
  </r>
  <r>
    <n v="10482"/>
    <s v="مصطفى"/>
    <d v="2026-09-16T00:00:00"/>
    <x v="2"/>
    <s v="شاشات"/>
    <x v="5"/>
    <x v="9"/>
    <n v="1"/>
    <n v="7500"/>
    <n v="0.03"/>
    <s v="محفظة إلكترونية"/>
    <x v="1"/>
    <s v="عميل 50"/>
    <n v="7500"/>
    <n v="7275"/>
  </r>
  <r>
    <n v="10483"/>
    <s v="مصطفى"/>
    <d v="2026-09-15T00:00:00"/>
    <x v="3"/>
    <s v="أجهزة كمبيوتر"/>
    <x v="4"/>
    <x v="11"/>
    <n v="10"/>
    <n v="32000"/>
    <n v="0"/>
    <s v="كاش"/>
    <x v="0"/>
    <s v="عميل 247"/>
    <n v="320000"/>
    <n v="320000"/>
  </r>
  <r>
    <n v="10484"/>
    <s v="علي"/>
    <d v="2026-07-09T00:00:00"/>
    <x v="0"/>
    <s v="تخزين"/>
    <x v="5"/>
    <x v="9"/>
    <n v="7"/>
    <n v="650"/>
    <n v="0.1"/>
    <s v="كاش"/>
    <x v="3"/>
    <s v="عميل 118"/>
    <n v="4550"/>
    <n v="4095"/>
  </r>
  <r>
    <n v="10485"/>
    <s v="حسن"/>
    <d v="2026-02-20T00:00:00"/>
    <x v="4"/>
    <s v="شبكات"/>
    <x v="4"/>
    <x v="20"/>
    <n v="6"/>
    <n v="150"/>
    <n v="0.1"/>
    <s v="محفظة إلكترونية"/>
    <x v="1"/>
    <s v="عميل 131"/>
    <n v="900"/>
    <n v="810"/>
  </r>
  <r>
    <n v="10486"/>
    <s v="مصطفى"/>
    <d v="2026-07-29T00:00:00"/>
    <x v="6"/>
    <s v="شاشات"/>
    <x v="2"/>
    <x v="5"/>
    <n v="5"/>
    <n v="9000"/>
    <n v="0.1"/>
    <s v="تحويل بنكي"/>
    <x v="1"/>
    <s v="عميل 3"/>
    <n v="45000"/>
    <n v="40500"/>
  </r>
  <r>
    <n v="10487"/>
    <s v="علي"/>
    <d v="2026-12-02T00:00:00"/>
    <x v="10"/>
    <s v="شبكات"/>
    <x v="1"/>
    <x v="1"/>
    <n v="9"/>
    <n v="2200"/>
    <n v="0"/>
    <s v="فيزا"/>
    <x v="2"/>
    <s v="عميل 210"/>
    <n v="19800"/>
    <n v="19800"/>
  </r>
  <r>
    <n v="10488"/>
    <s v="حسن"/>
    <d v="2026-05-10T00:00:00"/>
    <x v="9"/>
    <s v="إكسسوارات"/>
    <x v="0"/>
    <x v="16"/>
    <n v="7"/>
    <n v="1800"/>
    <n v="0.15"/>
    <s v="تحويل بنكي"/>
    <x v="3"/>
    <s v="عميل 290"/>
    <n v="12600"/>
    <n v="10710"/>
  </r>
  <r>
    <n v="10489"/>
    <s v="علي"/>
    <d v="2026-10-10T00:00:00"/>
    <x v="9"/>
    <s v="إكسسوارات"/>
    <x v="7"/>
    <x v="19"/>
    <n v="7"/>
    <n v="1800"/>
    <n v="0.03"/>
    <s v="محفظة إلكترونية"/>
    <x v="1"/>
    <s v="عميل 190"/>
    <n v="12600"/>
    <n v="12222"/>
  </r>
  <r>
    <n v="10490"/>
    <s v="محمود"/>
    <d v="2026-12-28T00:00:00"/>
    <x v="7"/>
    <s v="تخزين"/>
    <x v="4"/>
    <x v="20"/>
    <n v="5"/>
    <n v="3200"/>
    <n v="0.1"/>
    <s v="محفظة إلكترونية"/>
    <x v="1"/>
    <s v="عميل 61"/>
    <n v="16000"/>
    <n v="14400"/>
  </r>
  <r>
    <n v="10491"/>
    <s v="مؤمن"/>
    <d v="2026-09-18T00:00:00"/>
    <x v="10"/>
    <s v="شبكات"/>
    <x v="2"/>
    <x v="2"/>
    <n v="3"/>
    <n v="2200"/>
    <n v="0"/>
    <s v="محفظة إلكترونية"/>
    <x v="2"/>
    <s v="عميل 282"/>
    <n v="6600"/>
    <n v="6600"/>
  </r>
  <r>
    <n v="10492"/>
    <s v="أحمد"/>
    <d v="2026-02-16T00:00:00"/>
    <x v="12"/>
    <s v="تخزين"/>
    <x v="1"/>
    <x v="10"/>
    <n v="7"/>
    <n v="5200"/>
    <n v="0.15"/>
    <s v="فيزا"/>
    <x v="3"/>
    <s v="عميل 223"/>
    <n v="36400"/>
    <n v="30940"/>
  </r>
  <r>
    <n v="10493"/>
    <s v="محمد"/>
    <d v="2026-11-08T00:00:00"/>
    <x v="13"/>
    <s v="أجهزة كمبيوتر"/>
    <x v="0"/>
    <x v="13"/>
    <n v="4"/>
    <n v="28000"/>
    <n v="0.05"/>
    <s v="كاش"/>
    <x v="3"/>
    <s v="عميل 206"/>
    <n v="112000"/>
    <n v="106400"/>
  </r>
  <r>
    <n v="10494"/>
    <s v="يوسف"/>
    <d v="2026-11-24T00:00:00"/>
    <x v="12"/>
    <s v="تخزين"/>
    <x v="7"/>
    <x v="19"/>
    <n v="10"/>
    <n v="5200"/>
    <n v="0"/>
    <s v="محفظة إلكترونية"/>
    <x v="3"/>
    <s v="عميل 6"/>
    <n v="52000"/>
    <n v="52000"/>
  </r>
  <r>
    <n v="10495"/>
    <s v="مصطفى"/>
    <d v="2026-09-22T00:00:00"/>
    <x v="5"/>
    <s v="إكسسوارات"/>
    <x v="7"/>
    <x v="18"/>
    <n v="1"/>
    <n v="1200"/>
    <n v="0.1"/>
    <s v="فيزا"/>
    <x v="1"/>
    <s v="عميل 19"/>
    <n v="1200"/>
    <n v="1080"/>
  </r>
  <r>
    <n v="10496"/>
    <s v="محمد"/>
    <d v="2026-05-22T00:00:00"/>
    <x v="9"/>
    <s v="إكسسوارات"/>
    <x v="2"/>
    <x v="12"/>
    <n v="1"/>
    <n v="1800"/>
    <n v="0.03"/>
    <s v="محفظة إلكترونية"/>
    <x v="2"/>
    <s v="عميل 203"/>
    <n v="1800"/>
    <n v="1746"/>
  </r>
  <r>
    <n v="10497"/>
    <s v="محمد"/>
    <d v="2026-02-16T00:00:00"/>
    <x v="2"/>
    <s v="شاشات"/>
    <x v="2"/>
    <x v="12"/>
    <n v="1"/>
    <n v="7500"/>
    <n v="0.15"/>
    <s v="تحويل بنكي"/>
    <x v="2"/>
    <s v="عميل 178"/>
    <n v="7500"/>
    <n v="6375"/>
  </r>
  <r>
    <n v="10498"/>
    <s v="كريم"/>
    <d v="2026-07-26T00:00:00"/>
    <x v="8"/>
    <s v="إكسسوارات"/>
    <x v="7"/>
    <x v="18"/>
    <n v="10"/>
    <n v="1400"/>
    <n v="0.03"/>
    <s v="كاش"/>
    <x v="2"/>
    <s v="عميل 90"/>
    <n v="14000"/>
    <n v="13580"/>
  </r>
  <r>
    <n v="10499"/>
    <s v="محمود"/>
    <d v="2026-03-01T00:00:00"/>
    <x v="2"/>
    <s v="شاشات"/>
    <x v="0"/>
    <x v="0"/>
    <n v="9"/>
    <n v="7500"/>
    <n v="0.05"/>
    <s v="تحويل بنكي"/>
    <x v="2"/>
    <s v="عميل 227"/>
    <n v="67500"/>
    <n v="64125"/>
  </r>
  <r>
    <n v="10500"/>
    <s v="كريم"/>
    <d v="2026-10-28T00:00:00"/>
    <x v="2"/>
    <s v="شاشات"/>
    <x v="4"/>
    <x v="7"/>
    <n v="6"/>
    <n v="7500"/>
    <n v="7.0000000000000007E-2"/>
    <s v="كاش"/>
    <x v="3"/>
    <s v="عميل 60"/>
    <n v="45000"/>
    <n v="41850"/>
  </r>
  <r>
    <n v="10501"/>
    <s v="مؤمن"/>
    <d v="2026-06-11T00:00:00"/>
    <x v="14"/>
    <s v="إكسسوارات"/>
    <x v="0"/>
    <x v="26"/>
    <n v="4"/>
    <n v="450"/>
    <n v="0.15"/>
    <s v="محفظة إلكترونية"/>
    <x v="2"/>
    <s v="عميل 265"/>
    <n v="1800"/>
    <n v="1530"/>
  </r>
  <r>
    <n v="10502"/>
    <s v="محمد"/>
    <d v="2026-07-24T00:00:00"/>
    <x v="7"/>
    <s v="تخزين"/>
    <x v="1"/>
    <x v="6"/>
    <n v="4"/>
    <n v="3200"/>
    <n v="0.05"/>
    <s v="تحويل بنكي"/>
    <x v="0"/>
    <s v="عميل 284"/>
    <n v="12800"/>
    <n v="12160"/>
  </r>
  <r>
    <n v="10503"/>
    <s v="مؤمن"/>
    <d v="2026-10-21T00:00:00"/>
    <x v="11"/>
    <s v="طابعات"/>
    <x v="5"/>
    <x v="8"/>
    <n v="6"/>
    <n v="6500"/>
    <n v="0.05"/>
    <s v="تحويل بنكي"/>
    <x v="1"/>
    <s v="عميل 98"/>
    <n v="39000"/>
    <n v="37050"/>
  </r>
  <r>
    <n v="10504"/>
    <s v="مؤمن"/>
    <d v="2026-04-28T00:00:00"/>
    <x v="6"/>
    <s v="شاشات"/>
    <x v="2"/>
    <x v="5"/>
    <n v="4"/>
    <n v="9000"/>
    <n v="0.05"/>
    <s v="فيزا"/>
    <x v="1"/>
    <s v="عميل 183"/>
    <n v="36000"/>
    <n v="34200"/>
  </r>
  <r>
    <n v="10505"/>
    <s v="كريم"/>
    <d v="2026-11-11T00:00:00"/>
    <x v="3"/>
    <s v="أجهزة كمبيوتر"/>
    <x v="0"/>
    <x v="0"/>
    <n v="2"/>
    <n v="32000"/>
    <n v="0.15"/>
    <s v="كاش"/>
    <x v="0"/>
    <s v="عميل 247"/>
    <n v="64000"/>
    <n v="54400"/>
  </r>
  <r>
    <n v="10506"/>
    <s v="كريم"/>
    <d v="2026-04-04T00:00:00"/>
    <x v="9"/>
    <s v="إكسسوارات"/>
    <x v="3"/>
    <x v="17"/>
    <n v="10"/>
    <n v="1800"/>
    <n v="0.05"/>
    <s v="تحويل بنكي"/>
    <x v="3"/>
    <s v="عميل 114"/>
    <n v="18000"/>
    <n v="17100"/>
  </r>
  <r>
    <n v="10507"/>
    <s v="كريم"/>
    <d v="2026-10-04T00:00:00"/>
    <x v="4"/>
    <s v="شبكات"/>
    <x v="5"/>
    <x v="9"/>
    <n v="9"/>
    <n v="150"/>
    <n v="7.0000000000000007E-2"/>
    <s v="كاش"/>
    <x v="2"/>
    <s v="عميل 202"/>
    <n v="1350"/>
    <n v="1255.5"/>
  </r>
  <r>
    <n v="10508"/>
    <s v="مصطفى"/>
    <d v="2026-08-24T00:00:00"/>
    <x v="8"/>
    <s v="إكسسوارات"/>
    <x v="5"/>
    <x v="8"/>
    <n v="2"/>
    <n v="1400"/>
    <n v="0.15"/>
    <s v="تحويل بنكي"/>
    <x v="0"/>
    <s v="عميل 7"/>
    <n v="2800"/>
    <n v="2380"/>
  </r>
  <r>
    <n v="10509"/>
    <s v="محمود"/>
    <d v="2026-07-05T00:00:00"/>
    <x v="0"/>
    <s v="تخزين"/>
    <x v="2"/>
    <x v="2"/>
    <n v="10"/>
    <n v="650"/>
    <n v="0"/>
    <s v="تحويل بنكي"/>
    <x v="1"/>
    <s v="عميل 281"/>
    <n v="6500"/>
    <n v="6500"/>
  </r>
  <r>
    <n v="10510"/>
    <s v="محمود"/>
    <d v="2026-07-07T00:00:00"/>
    <x v="14"/>
    <s v="إكسسوارات"/>
    <x v="2"/>
    <x v="2"/>
    <n v="8"/>
    <n v="450"/>
    <n v="0.1"/>
    <s v="فيزا"/>
    <x v="3"/>
    <s v="عميل 218"/>
    <n v="3600"/>
    <n v="3240"/>
  </r>
  <r>
    <n v="10511"/>
    <s v="علي"/>
    <d v="2026-05-24T00:00:00"/>
    <x v="5"/>
    <s v="إكسسوارات"/>
    <x v="6"/>
    <x v="22"/>
    <n v="6"/>
    <n v="1200"/>
    <n v="0.05"/>
    <s v="محفظة إلكترونية"/>
    <x v="1"/>
    <s v="عميل 293"/>
    <n v="7200"/>
    <n v="6840"/>
  </r>
  <r>
    <n v="10512"/>
    <s v="مصطفى"/>
    <d v="2026-08-10T00:00:00"/>
    <x v="3"/>
    <s v="أجهزة كمبيوتر"/>
    <x v="2"/>
    <x v="5"/>
    <n v="5"/>
    <n v="32000"/>
    <n v="0.03"/>
    <s v="محفظة إلكترونية"/>
    <x v="1"/>
    <s v="عميل 75"/>
    <n v="160000"/>
    <n v="155200"/>
  </r>
  <r>
    <n v="10513"/>
    <s v="علي"/>
    <d v="2026-09-13T00:00:00"/>
    <x v="4"/>
    <s v="شبكات"/>
    <x v="5"/>
    <x v="8"/>
    <n v="1"/>
    <n v="150"/>
    <n v="0.03"/>
    <s v="فيزا"/>
    <x v="2"/>
    <s v="عميل 250"/>
    <n v="150"/>
    <n v="145.5"/>
  </r>
  <r>
    <n v="10514"/>
    <s v="علي"/>
    <d v="2026-02-20T00:00:00"/>
    <x v="14"/>
    <s v="إكسسوارات"/>
    <x v="7"/>
    <x v="19"/>
    <n v="10"/>
    <n v="450"/>
    <n v="0"/>
    <s v="فيزا"/>
    <x v="0"/>
    <s v="عميل 111"/>
    <n v="4500"/>
    <n v="4500"/>
  </r>
  <r>
    <n v="10515"/>
    <s v="محمود"/>
    <d v="2026-05-14T00:00:00"/>
    <x v="8"/>
    <s v="إكسسوارات"/>
    <x v="7"/>
    <x v="15"/>
    <n v="2"/>
    <n v="1400"/>
    <n v="7.0000000000000007E-2"/>
    <s v="تحويل بنكي"/>
    <x v="2"/>
    <s v="عميل 287"/>
    <n v="2800"/>
    <n v="2604"/>
  </r>
  <r>
    <n v="10516"/>
    <s v="محمد"/>
    <d v="2026-06-29T00:00:00"/>
    <x v="7"/>
    <s v="تخزين"/>
    <x v="7"/>
    <x v="15"/>
    <n v="1"/>
    <n v="3200"/>
    <n v="7.0000000000000007E-2"/>
    <s v="فيزا"/>
    <x v="1"/>
    <s v="عميل 146"/>
    <n v="3200"/>
    <n v="2976"/>
  </r>
  <r>
    <n v="10517"/>
    <s v="كريم"/>
    <d v="2026-02-10T00:00:00"/>
    <x v="9"/>
    <s v="إكسسوارات"/>
    <x v="3"/>
    <x v="24"/>
    <n v="9"/>
    <n v="1800"/>
    <n v="7.0000000000000007E-2"/>
    <s v="محفظة إلكترونية"/>
    <x v="2"/>
    <s v="عميل 238"/>
    <n v="16200"/>
    <n v="15065.999999999998"/>
  </r>
  <r>
    <n v="10518"/>
    <s v="حسن"/>
    <d v="2026-10-20T00:00:00"/>
    <x v="0"/>
    <s v="تخزين"/>
    <x v="5"/>
    <x v="25"/>
    <n v="6"/>
    <n v="650"/>
    <n v="7.0000000000000007E-2"/>
    <s v="محفظة إلكترونية"/>
    <x v="0"/>
    <s v="عميل 41"/>
    <n v="3900"/>
    <n v="3626.9999999999995"/>
  </r>
  <r>
    <n v="10519"/>
    <s v="عمر"/>
    <d v="2026-12-30T00:00:00"/>
    <x v="3"/>
    <s v="أجهزة كمبيوتر"/>
    <x v="3"/>
    <x v="4"/>
    <n v="6"/>
    <n v="32000"/>
    <n v="0.05"/>
    <s v="تحويل بنكي"/>
    <x v="3"/>
    <s v="عميل 139"/>
    <n v="192000"/>
    <n v="182400"/>
  </r>
  <r>
    <n v="10520"/>
    <s v="كريم"/>
    <d v="2026-07-31T00:00:00"/>
    <x v="11"/>
    <s v="طابعات"/>
    <x v="4"/>
    <x v="20"/>
    <n v="10"/>
    <n v="6500"/>
    <n v="0.1"/>
    <s v="فيزا"/>
    <x v="1"/>
    <s v="عميل 12"/>
    <n v="65000"/>
    <n v="58500"/>
  </r>
  <r>
    <n v="10521"/>
    <s v="محمد"/>
    <d v="2026-04-18T00:00:00"/>
    <x v="3"/>
    <s v="أجهزة كمبيوتر"/>
    <x v="2"/>
    <x v="12"/>
    <n v="5"/>
    <n v="32000"/>
    <n v="0.15"/>
    <s v="فيزا"/>
    <x v="3"/>
    <s v="عميل 53"/>
    <n v="160000"/>
    <n v="136000"/>
  </r>
  <r>
    <n v="10522"/>
    <s v="أحمد"/>
    <d v="2026-07-23T00:00:00"/>
    <x v="13"/>
    <s v="أجهزة كمبيوتر"/>
    <x v="0"/>
    <x v="26"/>
    <n v="9"/>
    <n v="28000"/>
    <n v="0"/>
    <s v="كاش"/>
    <x v="0"/>
    <s v="عميل 135"/>
    <n v="252000"/>
    <n v="252000"/>
  </r>
  <r>
    <n v="10523"/>
    <s v="مؤمن"/>
    <d v="2026-05-07T00:00:00"/>
    <x v="12"/>
    <s v="تخزين"/>
    <x v="5"/>
    <x v="9"/>
    <n v="7"/>
    <n v="5200"/>
    <n v="0.05"/>
    <s v="تحويل بنكي"/>
    <x v="3"/>
    <s v="عميل 65"/>
    <n v="36400"/>
    <n v="34580"/>
  </r>
  <r>
    <n v="10524"/>
    <s v="محمود"/>
    <d v="2026-06-16T00:00:00"/>
    <x v="3"/>
    <s v="أجهزة كمبيوتر"/>
    <x v="5"/>
    <x v="9"/>
    <n v="1"/>
    <n v="32000"/>
    <n v="0.15"/>
    <s v="محفظة إلكترونية"/>
    <x v="3"/>
    <s v="عميل 277"/>
    <n v="32000"/>
    <n v="27200"/>
  </r>
  <r>
    <n v="10525"/>
    <s v="مصطفى"/>
    <d v="2026-04-01T00:00:00"/>
    <x v="11"/>
    <s v="طابعات"/>
    <x v="7"/>
    <x v="19"/>
    <n v="8"/>
    <n v="6500"/>
    <n v="0.03"/>
    <s v="محفظة إلكترونية"/>
    <x v="3"/>
    <s v="عميل 269"/>
    <n v="52000"/>
    <n v="50440"/>
  </r>
  <r>
    <n v="10526"/>
    <s v="مؤمن"/>
    <d v="2026-02-15T00:00:00"/>
    <x v="0"/>
    <s v="تخزين"/>
    <x v="7"/>
    <x v="15"/>
    <n v="8"/>
    <n v="650"/>
    <n v="0.1"/>
    <s v="محفظة إلكترونية"/>
    <x v="2"/>
    <s v="عميل 188"/>
    <n v="5200"/>
    <n v="4680"/>
  </r>
  <r>
    <n v="10527"/>
    <s v="أحمد"/>
    <d v="2026-09-25T00:00:00"/>
    <x v="2"/>
    <s v="شاشات"/>
    <x v="7"/>
    <x v="18"/>
    <n v="5"/>
    <n v="7500"/>
    <n v="0"/>
    <s v="فيزا"/>
    <x v="2"/>
    <s v="عميل 147"/>
    <n v="37500"/>
    <n v="37500"/>
  </r>
  <r>
    <n v="10528"/>
    <s v="أحمد"/>
    <d v="2026-08-09T00:00:00"/>
    <x v="6"/>
    <s v="شاشات"/>
    <x v="1"/>
    <x v="3"/>
    <n v="8"/>
    <n v="9000"/>
    <n v="0.05"/>
    <s v="تحويل بنكي"/>
    <x v="1"/>
    <s v="عميل 4"/>
    <n v="72000"/>
    <n v="68400"/>
  </r>
  <r>
    <n v="10529"/>
    <s v="علي"/>
    <d v="2026-07-22T00:00:00"/>
    <x v="7"/>
    <s v="تخزين"/>
    <x v="3"/>
    <x v="4"/>
    <n v="7"/>
    <n v="3200"/>
    <n v="0.1"/>
    <s v="فيزا"/>
    <x v="1"/>
    <s v="عميل 200"/>
    <n v="22400"/>
    <n v="20160"/>
  </r>
  <r>
    <n v="10530"/>
    <s v="علي"/>
    <d v="2026-11-17T00:00:00"/>
    <x v="8"/>
    <s v="إكسسوارات"/>
    <x v="6"/>
    <x v="23"/>
    <n v="5"/>
    <n v="1400"/>
    <n v="0"/>
    <s v="فيزا"/>
    <x v="2"/>
    <s v="عميل 146"/>
    <n v="7000"/>
    <n v="7000"/>
  </r>
  <r>
    <n v="10531"/>
    <s v="يوسف"/>
    <d v="2026-03-11T00:00:00"/>
    <x v="0"/>
    <s v="تخزين"/>
    <x v="7"/>
    <x v="15"/>
    <n v="4"/>
    <n v="650"/>
    <n v="0"/>
    <s v="تحويل بنكي"/>
    <x v="0"/>
    <s v="عميل 234"/>
    <n v="2600"/>
    <n v="2600"/>
  </r>
  <r>
    <n v="10532"/>
    <s v="مؤمن"/>
    <d v="2026-06-14T00:00:00"/>
    <x v="12"/>
    <s v="تخزين"/>
    <x v="4"/>
    <x v="20"/>
    <n v="10"/>
    <n v="5200"/>
    <n v="7.0000000000000007E-2"/>
    <s v="كاش"/>
    <x v="1"/>
    <s v="عميل 26"/>
    <n v="52000"/>
    <n v="48360"/>
  </r>
  <r>
    <n v="10533"/>
    <s v="عمر"/>
    <d v="2026-03-06T00:00:00"/>
    <x v="7"/>
    <s v="تخزين"/>
    <x v="1"/>
    <x v="10"/>
    <n v="2"/>
    <n v="3200"/>
    <n v="0.05"/>
    <s v="محفظة إلكترونية"/>
    <x v="0"/>
    <s v="عميل 120"/>
    <n v="6400"/>
    <n v="6080"/>
  </r>
  <r>
    <n v="10534"/>
    <s v="محمود"/>
    <d v="2026-08-04T00:00:00"/>
    <x v="13"/>
    <s v="أجهزة كمبيوتر"/>
    <x v="5"/>
    <x v="9"/>
    <n v="8"/>
    <n v="28000"/>
    <n v="0.03"/>
    <s v="تحويل بنكي"/>
    <x v="3"/>
    <s v="عميل 191"/>
    <n v="224000"/>
    <n v="217280"/>
  </r>
  <r>
    <n v="10535"/>
    <s v="أحمد"/>
    <d v="2026-05-17T00:00:00"/>
    <x v="6"/>
    <s v="شاشات"/>
    <x v="1"/>
    <x v="6"/>
    <n v="2"/>
    <n v="9000"/>
    <n v="0.03"/>
    <s v="محفظة إلكترونية"/>
    <x v="0"/>
    <s v="عميل 279"/>
    <n v="18000"/>
    <n v="17460"/>
  </r>
  <r>
    <n v="10536"/>
    <s v="أحمد"/>
    <d v="2026-03-04T00:00:00"/>
    <x v="6"/>
    <s v="شاشات"/>
    <x v="5"/>
    <x v="25"/>
    <n v="5"/>
    <n v="9000"/>
    <n v="7.0000000000000007E-2"/>
    <s v="فيزا"/>
    <x v="3"/>
    <s v="عميل 227"/>
    <n v="45000"/>
    <n v="41850"/>
  </r>
  <r>
    <n v="10537"/>
    <s v="محمد"/>
    <d v="2026-09-24T00:00:00"/>
    <x v="5"/>
    <s v="إكسسوارات"/>
    <x v="1"/>
    <x v="10"/>
    <n v="8"/>
    <n v="1200"/>
    <n v="0.15"/>
    <s v="فيزا"/>
    <x v="3"/>
    <s v="عميل 200"/>
    <n v="9600"/>
    <n v="8160"/>
  </r>
  <r>
    <n v="10538"/>
    <s v="أحمد"/>
    <d v="2026-10-09T00:00:00"/>
    <x v="0"/>
    <s v="تخزين"/>
    <x v="7"/>
    <x v="15"/>
    <n v="3"/>
    <n v="650"/>
    <n v="0.15"/>
    <s v="كاش"/>
    <x v="2"/>
    <s v="عميل 247"/>
    <n v="1950"/>
    <n v="1657.5"/>
  </r>
  <r>
    <n v="10539"/>
    <s v="مؤمن"/>
    <d v="2026-02-27T00:00:00"/>
    <x v="0"/>
    <s v="تخزين"/>
    <x v="7"/>
    <x v="18"/>
    <n v="6"/>
    <n v="650"/>
    <n v="0"/>
    <s v="فيزا"/>
    <x v="3"/>
    <s v="عميل 167"/>
    <n v="3900"/>
    <n v="3900"/>
  </r>
  <r>
    <n v="10540"/>
    <s v="علي"/>
    <d v="2026-05-05T00:00:00"/>
    <x v="1"/>
    <s v="أجهزة كمبيوتر"/>
    <x v="5"/>
    <x v="21"/>
    <n v="10"/>
    <n v="25000"/>
    <n v="0"/>
    <s v="كاش"/>
    <x v="0"/>
    <s v="عميل 298"/>
    <n v="250000"/>
    <n v="250000"/>
  </r>
  <r>
    <n v="10541"/>
    <s v="محمود"/>
    <d v="2026-02-15T00:00:00"/>
    <x v="4"/>
    <s v="شبكات"/>
    <x v="4"/>
    <x v="11"/>
    <n v="10"/>
    <n v="150"/>
    <n v="0.03"/>
    <s v="فيزا"/>
    <x v="1"/>
    <s v="عميل 256"/>
    <n v="1500"/>
    <n v="1455"/>
  </r>
  <r>
    <n v="10542"/>
    <s v="محمود"/>
    <d v="2026-11-27T00:00:00"/>
    <x v="13"/>
    <s v="أجهزة كمبيوتر"/>
    <x v="3"/>
    <x v="24"/>
    <n v="1"/>
    <n v="28000"/>
    <n v="0"/>
    <s v="فيزا"/>
    <x v="0"/>
    <s v="عميل 65"/>
    <n v="28000"/>
    <n v="28000"/>
  </r>
  <r>
    <n v="10543"/>
    <s v="محمود"/>
    <d v="2026-08-13T00:00:00"/>
    <x v="6"/>
    <s v="شاشات"/>
    <x v="2"/>
    <x v="2"/>
    <n v="9"/>
    <n v="9000"/>
    <n v="0.15"/>
    <s v="فيزا"/>
    <x v="0"/>
    <s v="عميل 194"/>
    <n v="81000"/>
    <n v="68850"/>
  </r>
  <r>
    <n v="10544"/>
    <s v="كريم"/>
    <d v="2026-10-14T00:00:00"/>
    <x v="9"/>
    <s v="إكسسوارات"/>
    <x v="5"/>
    <x v="21"/>
    <n v="1"/>
    <n v="1800"/>
    <n v="7.0000000000000007E-2"/>
    <s v="تحويل بنكي"/>
    <x v="3"/>
    <s v="عميل 98"/>
    <n v="1800"/>
    <n v="1674"/>
  </r>
  <r>
    <n v="10545"/>
    <s v="كريم"/>
    <d v="2026-05-21T00:00:00"/>
    <x v="12"/>
    <s v="تخزين"/>
    <x v="5"/>
    <x v="21"/>
    <n v="6"/>
    <n v="5200"/>
    <n v="0.15"/>
    <s v="فيزا"/>
    <x v="0"/>
    <s v="عميل 272"/>
    <n v="31200"/>
    <n v="26520"/>
  </r>
  <r>
    <n v="10546"/>
    <s v="محمود"/>
    <d v="2026-08-21T00:00:00"/>
    <x v="3"/>
    <s v="أجهزة كمبيوتر"/>
    <x v="4"/>
    <x v="20"/>
    <n v="5"/>
    <n v="32000"/>
    <n v="0.1"/>
    <s v="كاش"/>
    <x v="3"/>
    <s v="عميل 95"/>
    <n v="160000"/>
    <n v="144000"/>
  </r>
  <r>
    <n v="10547"/>
    <s v="محمود"/>
    <d v="2026-02-02T00:00:00"/>
    <x v="11"/>
    <s v="طابعات"/>
    <x v="1"/>
    <x v="6"/>
    <n v="10"/>
    <n v="6500"/>
    <n v="0.03"/>
    <s v="محفظة إلكترونية"/>
    <x v="1"/>
    <s v="عميل 269"/>
    <n v="65000"/>
    <n v="63050"/>
  </r>
  <r>
    <n v="10548"/>
    <s v="عمر"/>
    <d v="2026-06-15T00:00:00"/>
    <x v="0"/>
    <s v="تخزين"/>
    <x v="4"/>
    <x v="11"/>
    <n v="3"/>
    <n v="650"/>
    <n v="0.1"/>
    <s v="محفظة إلكترونية"/>
    <x v="2"/>
    <s v="عميل 57"/>
    <n v="1950"/>
    <n v="1755"/>
  </r>
  <r>
    <n v="10549"/>
    <s v="أحمد"/>
    <d v="2026-04-14T00:00:00"/>
    <x v="13"/>
    <s v="أجهزة كمبيوتر"/>
    <x v="0"/>
    <x v="0"/>
    <n v="3"/>
    <n v="28000"/>
    <n v="0.03"/>
    <s v="كاش"/>
    <x v="3"/>
    <s v="عميل 99"/>
    <n v="84000"/>
    <n v="81480"/>
  </r>
  <r>
    <n v="10550"/>
    <s v="حسن"/>
    <d v="2026-12-26T00:00:00"/>
    <x v="13"/>
    <s v="أجهزة كمبيوتر"/>
    <x v="1"/>
    <x v="3"/>
    <n v="8"/>
    <n v="28000"/>
    <n v="0.1"/>
    <s v="تحويل بنكي"/>
    <x v="0"/>
    <s v="عميل 188"/>
    <n v="224000"/>
    <n v="201600"/>
  </r>
  <r>
    <n v="10551"/>
    <s v="كريم"/>
    <d v="2026-02-10T00:00:00"/>
    <x v="5"/>
    <s v="إكسسوارات"/>
    <x v="0"/>
    <x v="0"/>
    <n v="4"/>
    <n v="1200"/>
    <n v="0.15"/>
    <s v="محفظة إلكترونية"/>
    <x v="0"/>
    <s v="عميل 185"/>
    <n v="4800"/>
    <n v="4080"/>
  </r>
  <r>
    <n v="10552"/>
    <s v="عمر"/>
    <d v="2026-09-28T00:00:00"/>
    <x v="7"/>
    <s v="تخزين"/>
    <x v="6"/>
    <x v="14"/>
    <n v="1"/>
    <n v="3200"/>
    <n v="0.1"/>
    <s v="كاش"/>
    <x v="0"/>
    <s v="عميل 156"/>
    <n v="3200"/>
    <n v="2880"/>
  </r>
  <r>
    <n v="10553"/>
    <s v="مؤمن"/>
    <d v="2026-09-30T00:00:00"/>
    <x v="13"/>
    <s v="أجهزة كمبيوتر"/>
    <x v="2"/>
    <x v="12"/>
    <n v="2"/>
    <n v="28000"/>
    <n v="0"/>
    <s v="محفظة إلكترونية"/>
    <x v="1"/>
    <s v="عميل 99"/>
    <n v="56000"/>
    <n v="56000"/>
  </r>
  <r>
    <n v="10554"/>
    <s v="مصطفى"/>
    <d v="2026-08-01T00:00:00"/>
    <x v="7"/>
    <s v="تخزين"/>
    <x v="2"/>
    <x v="12"/>
    <n v="3"/>
    <n v="3200"/>
    <n v="0.1"/>
    <s v="كاش"/>
    <x v="2"/>
    <s v="عميل 235"/>
    <n v="9600"/>
    <n v="8640"/>
  </r>
  <r>
    <n v="10555"/>
    <s v="مصطفى"/>
    <d v="2026-07-25T00:00:00"/>
    <x v="10"/>
    <s v="شبكات"/>
    <x v="6"/>
    <x v="23"/>
    <n v="3"/>
    <n v="2200"/>
    <n v="0.03"/>
    <s v="تحويل بنكي"/>
    <x v="1"/>
    <s v="عميل 274"/>
    <n v="6600"/>
    <n v="6402"/>
  </r>
  <r>
    <n v="10556"/>
    <s v="محمود"/>
    <d v="2026-07-10T00:00:00"/>
    <x v="12"/>
    <s v="تخزين"/>
    <x v="4"/>
    <x v="20"/>
    <n v="6"/>
    <n v="5200"/>
    <n v="0.1"/>
    <s v="محفظة إلكترونية"/>
    <x v="3"/>
    <s v="عميل 166"/>
    <n v="31200"/>
    <n v="28080"/>
  </r>
  <r>
    <n v="10557"/>
    <s v="علي"/>
    <d v="2026-10-09T00:00:00"/>
    <x v="12"/>
    <s v="تخزين"/>
    <x v="2"/>
    <x v="12"/>
    <n v="9"/>
    <n v="5200"/>
    <n v="0.03"/>
    <s v="تحويل بنكي"/>
    <x v="2"/>
    <s v="عميل 232"/>
    <n v="46800"/>
    <n v="45396"/>
  </r>
  <r>
    <n v="10558"/>
    <s v="حسن"/>
    <d v="2026-01-09T00:00:00"/>
    <x v="6"/>
    <s v="شاشات"/>
    <x v="6"/>
    <x v="23"/>
    <n v="1"/>
    <n v="9000"/>
    <n v="0.05"/>
    <s v="فيزا"/>
    <x v="2"/>
    <s v="عميل 4"/>
    <n v="9000"/>
    <n v="8550"/>
  </r>
  <r>
    <n v="10559"/>
    <s v="عمر"/>
    <d v="2026-10-11T00:00:00"/>
    <x v="14"/>
    <s v="إكسسوارات"/>
    <x v="2"/>
    <x v="5"/>
    <n v="6"/>
    <n v="450"/>
    <n v="0"/>
    <s v="فيزا"/>
    <x v="0"/>
    <s v="عميل 20"/>
    <n v="2700"/>
    <n v="2700"/>
  </r>
  <r>
    <n v="10560"/>
    <s v="محمود"/>
    <d v="2026-10-26T00:00:00"/>
    <x v="6"/>
    <s v="شاشات"/>
    <x v="3"/>
    <x v="4"/>
    <n v="3"/>
    <n v="9000"/>
    <n v="0.05"/>
    <s v="فيزا"/>
    <x v="1"/>
    <s v="عميل 132"/>
    <n v="27000"/>
    <n v="25650"/>
  </r>
  <r>
    <n v="10561"/>
    <s v="حسن"/>
    <d v="2026-04-22T00:00:00"/>
    <x v="4"/>
    <s v="شبكات"/>
    <x v="7"/>
    <x v="18"/>
    <n v="10"/>
    <n v="150"/>
    <n v="7.0000000000000007E-2"/>
    <s v="كاش"/>
    <x v="2"/>
    <s v="عميل 248"/>
    <n v="1500"/>
    <n v="1395"/>
  </r>
  <r>
    <n v="10562"/>
    <s v="حسن"/>
    <d v="2026-11-25T00:00:00"/>
    <x v="3"/>
    <s v="أجهزة كمبيوتر"/>
    <x v="4"/>
    <x v="11"/>
    <n v="10"/>
    <n v="32000"/>
    <n v="0"/>
    <s v="تحويل بنكي"/>
    <x v="0"/>
    <s v="عميل 296"/>
    <n v="320000"/>
    <n v="320000"/>
  </r>
  <r>
    <n v="10563"/>
    <s v="علي"/>
    <d v="2026-08-02T00:00:00"/>
    <x v="2"/>
    <s v="شاشات"/>
    <x v="0"/>
    <x v="0"/>
    <n v="6"/>
    <n v="7500"/>
    <n v="0.05"/>
    <s v="كاش"/>
    <x v="1"/>
    <s v="عميل 6"/>
    <n v="45000"/>
    <n v="42750"/>
  </r>
  <r>
    <n v="10564"/>
    <s v="أحمد"/>
    <d v="2026-06-13T00:00:00"/>
    <x v="0"/>
    <s v="تخزين"/>
    <x v="6"/>
    <x v="23"/>
    <n v="5"/>
    <n v="650"/>
    <n v="0.1"/>
    <s v="فيزا"/>
    <x v="2"/>
    <s v="عميل 258"/>
    <n v="3250"/>
    <n v="2925"/>
  </r>
  <r>
    <n v="10565"/>
    <s v="علي"/>
    <d v="2026-08-17T00:00:00"/>
    <x v="10"/>
    <s v="شبكات"/>
    <x v="2"/>
    <x v="5"/>
    <n v="1"/>
    <n v="2200"/>
    <n v="0.15"/>
    <s v="كاش"/>
    <x v="1"/>
    <s v="عميل 222"/>
    <n v="2200"/>
    <n v="1870"/>
  </r>
  <r>
    <n v="10566"/>
    <s v="محمد"/>
    <d v="2026-09-01T00:00:00"/>
    <x v="14"/>
    <s v="إكسسوارات"/>
    <x v="6"/>
    <x v="23"/>
    <n v="3"/>
    <n v="450"/>
    <n v="0.05"/>
    <s v="كاش"/>
    <x v="3"/>
    <s v="عميل 135"/>
    <n v="1350"/>
    <n v="1282.5"/>
  </r>
  <r>
    <n v="10567"/>
    <s v="يوسف"/>
    <d v="2026-03-11T00:00:00"/>
    <x v="13"/>
    <s v="أجهزة كمبيوتر"/>
    <x v="6"/>
    <x v="22"/>
    <n v="7"/>
    <n v="28000"/>
    <n v="0.15"/>
    <s v="محفظة إلكترونية"/>
    <x v="1"/>
    <s v="عميل 250"/>
    <n v="196000"/>
    <n v="166600"/>
  </r>
  <r>
    <n v="10568"/>
    <s v="مصطفى"/>
    <d v="2026-05-07T00:00:00"/>
    <x v="2"/>
    <s v="شاشات"/>
    <x v="2"/>
    <x v="12"/>
    <n v="10"/>
    <n v="7500"/>
    <n v="0.15"/>
    <s v="فيزا"/>
    <x v="0"/>
    <s v="عميل 137"/>
    <n v="75000"/>
    <n v="63750"/>
  </r>
  <r>
    <n v="10569"/>
    <s v="محمد"/>
    <d v="2026-12-10T00:00:00"/>
    <x v="4"/>
    <s v="شبكات"/>
    <x v="6"/>
    <x v="14"/>
    <n v="10"/>
    <n v="150"/>
    <n v="0"/>
    <s v="محفظة إلكترونية"/>
    <x v="3"/>
    <s v="عميل 188"/>
    <n v="1500"/>
    <n v="1500"/>
  </r>
  <r>
    <n v="10570"/>
    <s v="أحمد"/>
    <d v="2026-06-06T00:00:00"/>
    <x v="9"/>
    <s v="إكسسوارات"/>
    <x v="2"/>
    <x v="2"/>
    <n v="6"/>
    <n v="1800"/>
    <n v="0.1"/>
    <s v="فيزا"/>
    <x v="2"/>
    <s v="عميل 227"/>
    <n v="10800"/>
    <n v="9720"/>
  </r>
  <r>
    <n v="10571"/>
    <s v="مؤمن"/>
    <d v="2026-12-17T00:00:00"/>
    <x v="12"/>
    <s v="تخزين"/>
    <x v="5"/>
    <x v="8"/>
    <n v="1"/>
    <n v="5200"/>
    <n v="0.03"/>
    <s v="تحويل بنكي"/>
    <x v="1"/>
    <s v="عميل 44"/>
    <n v="5200"/>
    <n v="5044"/>
  </r>
  <r>
    <n v="10572"/>
    <s v="عمر"/>
    <d v="2026-01-08T00:00:00"/>
    <x v="13"/>
    <s v="أجهزة كمبيوتر"/>
    <x v="1"/>
    <x v="10"/>
    <n v="10"/>
    <n v="28000"/>
    <n v="0.03"/>
    <s v="تحويل بنكي"/>
    <x v="0"/>
    <s v="عميل 157"/>
    <n v="280000"/>
    <n v="271600"/>
  </r>
  <r>
    <n v="10573"/>
    <s v="مصطفى"/>
    <d v="2026-04-19T00:00:00"/>
    <x v="6"/>
    <s v="شاشات"/>
    <x v="4"/>
    <x v="7"/>
    <n v="6"/>
    <n v="9000"/>
    <n v="0.03"/>
    <s v="فيزا"/>
    <x v="2"/>
    <s v="عميل 281"/>
    <n v="54000"/>
    <n v="52380"/>
  </r>
  <r>
    <n v="10574"/>
    <s v="مصطفى"/>
    <d v="2026-01-23T00:00:00"/>
    <x v="6"/>
    <s v="شاشات"/>
    <x v="5"/>
    <x v="9"/>
    <n v="7"/>
    <n v="9000"/>
    <n v="0.1"/>
    <s v="تحويل بنكي"/>
    <x v="1"/>
    <s v="عميل 31"/>
    <n v="63000"/>
    <n v="56700"/>
  </r>
  <r>
    <n v="10575"/>
    <s v="أحمد"/>
    <d v="2026-08-27T00:00:00"/>
    <x v="14"/>
    <s v="إكسسوارات"/>
    <x v="2"/>
    <x v="12"/>
    <n v="10"/>
    <n v="450"/>
    <n v="0.05"/>
    <s v="كاش"/>
    <x v="0"/>
    <s v="عميل 199"/>
    <n v="4500"/>
    <n v="4275"/>
  </r>
  <r>
    <n v="10576"/>
    <s v="أحمد"/>
    <d v="2026-05-30T00:00:00"/>
    <x v="0"/>
    <s v="تخزين"/>
    <x v="7"/>
    <x v="19"/>
    <n v="6"/>
    <n v="650"/>
    <n v="0"/>
    <s v="محفظة إلكترونية"/>
    <x v="1"/>
    <s v="عميل 195"/>
    <n v="3900"/>
    <n v="3900"/>
  </r>
  <r>
    <n v="10577"/>
    <s v="مصطفى"/>
    <d v="2026-02-15T00:00:00"/>
    <x v="7"/>
    <s v="تخزين"/>
    <x v="0"/>
    <x v="13"/>
    <n v="8"/>
    <n v="3200"/>
    <n v="0.1"/>
    <s v="فيزا"/>
    <x v="1"/>
    <s v="عميل 257"/>
    <n v="25600"/>
    <n v="23040"/>
  </r>
  <r>
    <n v="10578"/>
    <s v="عمر"/>
    <d v="2026-06-20T00:00:00"/>
    <x v="6"/>
    <s v="شاشات"/>
    <x v="1"/>
    <x v="1"/>
    <n v="4"/>
    <n v="9000"/>
    <n v="0.1"/>
    <s v="محفظة إلكترونية"/>
    <x v="3"/>
    <s v="عميل 81"/>
    <n v="36000"/>
    <n v="32400"/>
  </r>
  <r>
    <n v="10579"/>
    <s v="عمر"/>
    <d v="2026-05-01T00:00:00"/>
    <x v="1"/>
    <s v="أجهزة كمبيوتر"/>
    <x v="3"/>
    <x v="24"/>
    <n v="6"/>
    <n v="25000"/>
    <n v="0.05"/>
    <s v="تحويل بنكي"/>
    <x v="0"/>
    <s v="عميل 132"/>
    <n v="150000"/>
    <n v="142500"/>
  </r>
  <r>
    <n v="10580"/>
    <s v="مؤمن"/>
    <d v="2026-03-19T00:00:00"/>
    <x v="11"/>
    <s v="طابعات"/>
    <x v="6"/>
    <x v="23"/>
    <n v="9"/>
    <n v="6500"/>
    <n v="0.05"/>
    <s v="تحويل بنكي"/>
    <x v="3"/>
    <s v="عميل 71"/>
    <n v="58500"/>
    <n v="55575"/>
  </r>
  <r>
    <n v="10581"/>
    <s v="مؤمن"/>
    <d v="2026-08-02T00:00:00"/>
    <x v="13"/>
    <s v="أجهزة كمبيوتر"/>
    <x v="6"/>
    <x v="22"/>
    <n v="10"/>
    <n v="28000"/>
    <n v="0.15"/>
    <s v="فيزا"/>
    <x v="1"/>
    <s v="عميل 219"/>
    <n v="280000"/>
    <n v="238000"/>
  </r>
  <r>
    <n v="10582"/>
    <s v="مؤمن"/>
    <d v="2026-12-01T00:00:00"/>
    <x v="14"/>
    <s v="إكسسوارات"/>
    <x v="3"/>
    <x v="17"/>
    <n v="9"/>
    <n v="450"/>
    <n v="0.03"/>
    <s v="فيزا"/>
    <x v="1"/>
    <s v="عميل 71"/>
    <n v="4050"/>
    <n v="3928.5"/>
  </r>
  <r>
    <n v="10583"/>
    <s v="حسن"/>
    <d v="2026-03-22T00:00:00"/>
    <x v="14"/>
    <s v="إكسسوارات"/>
    <x v="5"/>
    <x v="8"/>
    <n v="3"/>
    <n v="450"/>
    <n v="0.15"/>
    <s v="تحويل بنكي"/>
    <x v="0"/>
    <s v="عميل 286"/>
    <n v="1350"/>
    <n v="1147.5"/>
  </r>
  <r>
    <n v="10584"/>
    <s v="أحمد"/>
    <d v="2026-06-13T00:00:00"/>
    <x v="7"/>
    <s v="تخزين"/>
    <x v="0"/>
    <x v="16"/>
    <n v="6"/>
    <n v="3200"/>
    <n v="0.03"/>
    <s v="محفظة إلكترونية"/>
    <x v="3"/>
    <s v="عميل 156"/>
    <n v="19200"/>
    <n v="18624"/>
  </r>
  <r>
    <n v="10585"/>
    <s v="يوسف"/>
    <d v="2026-04-05T00:00:00"/>
    <x v="6"/>
    <s v="شاشات"/>
    <x v="7"/>
    <x v="18"/>
    <n v="4"/>
    <n v="9000"/>
    <n v="0"/>
    <s v="كاش"/>
    <x v="2"/>
    <s v="عميل 291"/>
    <n v="36000"/>
    <n v="36000"/>
  </r>
  <r>
    <n v="10586"/>
    <s v="أحمد"/>
    <d v="2026-07-03T00:00:00"/>
    <x v="12"/>
    <s v="تخزين"/>
    <x v="2"/>
    <x v="12"/>
    <n v="4"/>
    <n v="5200"/>
    <n v="0.03"/>
    <s v="كاش"/>
    <x v="3"/>
    <s v="عميل 69"/>
    <n v="20800"/>
    <n v="20176"/>
  </r>
  <r>
    <n v="10587"/>
    <s v="علي"/>
    <d v="2026-09-09T00:00:00"/>
    <x v="7"/>
    <s v="تخزين"/>
    <x v="4"/>
    <x v="11"/>
    <n v="6"/>
    <n v="3200"/>
    <n v="0.03"/>
    <s v="محفظة إلكترونية"/>
    <x v="1"/>
    <s v="عميل 84"/>
    <n v="19200"/>
    <n v="18624"/>
  </r>
  <r>
    <n v="10588"/>
    <s v="عمر"/>
    <d v="2026-07-31T00:00:00"/>
    <x v="5"/>
    <s v="إكسسوارات"/>
    <x v="2"/>
    <x v="5"/>
    <n v="7"/>
    <n v="1200"/>
    <n v="0"/>
    <s v="فيزا"/>
    <x v="1"/>
    <s v="عميل 105"/>
    <n v="8400"/>
    <n v="8400"/>
  </r>
  <r>
    <n v="10589"/>
    <s v="محمود"/>
    <d v="2026-08-23T00:00:00"/>
    <x v="13"/>
    <s v="أجهزة كمبيوتر"/>
    <x v="5"/>
    <x v="8"/>
    <n v="10"/>
    <n v="28000"/>
    <n v="7.0000000000000007E-2"/>
    <s v="فيزا"/>
    <x v="3"/>
    <s v="عميل 208"/>
    <n v="280000"/>
    <n v="260399.99999999997"/>
  </r>
  <r>
    <n v="10590"/>
    <s v="حسن"/>
    <d v="2026-10-20T00:00:00"/>
    <x v="4"/>
    <s v="شبكات"/>
    <x v="1"/>
    <x v="3"/>
    <n v="6"/>
    <n v="150"/>
    <n v="7.0000000000000007E-2"/>
    <s v="كاش"/>
    <x v="0"/>
    <s v="عميل 232"/>
    <n v="900"/>
    <n v="837"/>
  </r>
  <r>
    <n v="10591"/>
    <s v="علي"/>
    <d v="2026-01-21T00:00:00"/>
    <x v="6"/>
    <s v="شاشات"/>
    <x v="1"/>
    <x v="10"/>
    <n v="9"/>
    <n v="9000"/>
    <n v="0.1"/>
    <s v="محفظة إلكترونية"/>
    <x v="0"/>
    <s v="عميل 98"/>
    <n v="81000"/>
    <n v="72900"/>
  </r>
  <r>
    <n v="10592"/>
    <s v="كريم"/>
    <d v="2026-03-27T00:00:00"/>
    <x v="14"/>
    <s v="إكسسوارات"/>
    <x v="4"/>
    <x v="20"/>
    <n v="5"/>
    <n v="450"/>
    <n v="0.05"/>
    <s v="محفظة إلكترونية"/>
    <x v="2"/>
    <s v="عميل 28"/>
    <n v="2250"/>
    <n v="2137.5"/>
  </r>
  <r>
    <n v="10593"/>
    <s v="مصطفى"/>
    <d v="2026-02-27T00:00:00"/>
    <x v="10"/>
    <s v="شبكات"/>
    <x v="5"/>
    <x v="8"/>
    <n v="8"/>
    <n v="2200"/>
    <n v="0"/>
    <s v="فيزا"/>
    <x v="1"/>
    <s v="عميل 202"/>
    <n v="17600"/>
    <n v="17600"/>
  </r>
  <r>
    <n v="10594"/>
    <s v="كريم"/>
    <d v="2026-10-30T00:00:00"/>
    <x v="2"/>
    <s v="شاشات"/>
    <x v="3"/>
    <x v="17"/>
    <n v="1"/>
    <n v="7500"/>
    <n v="0.03"/>
    <s v="فيزا"/>
    <x v="3"/>
    <s v="عميل 47"/>
    <n v="7500"/>
    <n v="7275"/>
  </r>
  <r>
    <n v="10595"/>
    <s v="محمد"/>
    <d v="2026-02-16T00:00:00"/>
    <x v="14"/>
    <s v="إكسسوارات"/>
    <x v="3"/>
    <x v="24"/>
    <n v="3"/>
    <n v="450"/>
    <n v="0.15"/>
    <s v="كاش"/>
    <x v="3"/>
    <s v="عميل 186"/>
    <n v="1350"/>
    <n v="1147.5"/>
  </r>
  <r>
    <n v="10596"/>
    <s v="يوسف"/>
    <d v="2026-07-13T00:00:00"/>
    <x v="13"/>
    <s v="أجهزة كمبيوتر"/>
    <x v="6"/>
    <x v="22"/>
    <n v="9"/>
    <n v="28000"/>
    <n v="0.1"/>
    <s v="محفظة إلكترونية"/>
    <x v="0"/>
    <s v="عميل 88"/>
    <n v="252000"/>
    <n v="226800"/>
  </r>
  <r>
    <n v="10597"/>
    <s v="يوسف"/>
    <d v="2026-04-02T00:00:00"/>
    <x v="11"/>
    <s v="طابعات"/>
    <x v="3"/>
    <x v="24"/>
    <n v="3"/>
    <n v="6500"/>
    <n v="0.03"/>
    <s v="كاش"/>
    <x v="3"/>
    <s v="عميل 158"/>
    <n v="19500"/>
    <n v="18915"/>
  </r>
  <r>
    <n v="10598"/>
    <s v="يوسف"/>
    <d v="2026-04-14T00:00:00"/>
    <x v="14"/>
    <s v="إكسسوارات"/>
    <x v="4"/>
    <x v="20"/>
    <n v="3"/>
    <n v="450"/>
    <n v="0"/>
    <s v="كاش"/>
    <x v="2"/>
    <s v="عميل 7"/>
    <n v="1350"/>
    <n v="1350"/>
  </r>
  <r>
    <n v="10599"/>
    <s v="حسن"/>
    <d v="2026-09-10T00:00:00"/>
    <x v="6"/>
    <s v="شاشات"/>
    <x v="4"/>
    <x v="20"/>
    <n v="9"/>
    <n v="9000"/>
    <n v="0"/>
    <s v="فيزا"/>
    <x v="1"/>
    <s v="عميل 244"/>
    <n v="81000"/>
    <n v="81000"/>
  </r>
  <r>
    <n v="10600"/>
    <s v="حسن"/>
    <d v="2026-01-04T00:00:00"/>
    <x v="6"/>
    <s v="شاشات"/>
    <x v="6"/>
    <x v="14"/>
    <n v="2"/>
    <n v="9000"/>
    <n v="0.1"/>
    <s v="فيزا"/>
    <x v="2"/>
    <s v="عميل 286"/>
    <n v="18000"/>
    <n v="16200"/>
  </r>
  <r>
    <n v="10601"/>
    <s v="أحمد"/>
    <d v="2026-12-01T00:00:00"/>
    <x v="8"/>
    <s v="إكسسوارات"/>
    <x v="2"/>
    <x v="5"/>
    <n v="3"/>
    <n v="1400"/>
    <n v="0.03"/>
    <s v="تحويل بنكي"/>
    <x v="0"/>
    <s v="عميل 75"/>
    <n v="4200"/>
    <n v="4074"/>
  </r>
  <r>
    <n v="10602"/>
    <s v="أحمد"/>
    <d v="2026-02-25T00:00:00"/>
    <x v="8"/>
    <s v="إكسسوارات"/>
    <x v="1"/>
    <x v="6"/>
    <n v="6"/>
    <n v="1400"/>
    <n v="0"/>
    <s v="محفظة إلكترونية"/>
    <x v="1"/>
    <s v="عميل 83"/>
    <n v="8400"/>
    <n v="8400"/>
  </r>
  <r>
    <n v="10603"/>
    <s v="مصطفى"/>
    <d v="2026-04-01T00:00:00"/>
    <x v="0"/>
    <s v="تخزين"/>
    <x v="7"/>
    <x v="19"/>
    <n v="10"/>
    <n v="650"/>
    <n v="0.1"/>
    <s v="محفظة إلكترونية"/>
    <x v="2"/>
    <s v="عميل 19"/>
    <n v="6500"/>
    <n v="5850"/>
  </r>
  <r>
    <n v="10604"/>
    <s v="محمد"/>
    <d v="2026-08-07T00:00:00"/>
    <x v="13"/>
    <s v="أجهزة كمبيوتر"/>
    <x v="7"/>
    <x v="15"/>
    <n v="6"/>
    <n v="28000"/>
    <n v="7.0000000000000007E-2"/>
    <s v="كاش"/>
    <x v="2"/>
    <s v="عميل 242"/>
    <n v="168000"/>
    <n v="156240"/>
  </r>
  <r>
    <n v="10605"/>
    <s v="علي"/>
    <d v="2026-09-26T00:00:00"/>
    <x v="3"/>
    <s v="أجهزة كمبيوتر"/>
    <x v="0"/>
    <x v="13"/>
    <n v="6"/>
    <n v="32000"/>
    <n v="0.1"/>
    <s v="فيزا"/>
    <x v="1"/>
    <s v="عميل 30"/>
    <n v="192000"/>
    <n v="172800"/>
  </r>
  <r>
    <n v="10606"/>
    <s v="عمر"/>
    <d v="2026-08-07T00:00:00"/>
    <x v="13"/>
    <s v="أجهزة كمبيوتر"/>
    <x v="0"/>
    <x v="26"/>
    <n v="10"/>
    <n v="28000"/>
    <n v="0.15"/>
    <s v="تحويل بنكي"/>
    <x v="2"/>
    <s v="عميل 270"/>
    <n v="280000"/>
    <n v="238000"/>
  </r>
  <r>
    <n v="10607"/>
    <s v="كريم"/>
    <d v="2026-09-24T00:00:00"/>
    <x v="12"/>
    <s v="تخزين"/>
    <x v="3"/>
    <x v="4"/>
    <n v="10"/>
    <n v="5200"/>
    <n v="0.1"/>
    <s v="محفظة إلكترونية"/>
    <x v="3"/>
    <s v="عميل 93"/>
    <n v="52000"/>
    <n v="46800"/>
  </r>
  <r>
    <n v="10608"/>
    <s v="أحمد"/>
    <d v="2026-03-02T00:00:00"/>
    <x v="11"/>
    <s v="طابعات"/>
    <x v="2"/>
    <x v="12"/>
    <n v="5"/>
    <n v="6500"/>
    <n v="0.03"/>
    <s v="كاش"/>
    <x v="3"/>
    <s v="عميل 61"/>
    <n v="32500"/>
    <n v="31525"/>
  </r>
  <r>
    <n v="10609"/>
    <s v="أحمد"/>
    <d v="2026-06-20T00:00:00"/>
    <x v="10"/>
    <s v="شبكات"/>
    <x v="2"/>
    <x v="12"/>
    <n v="7"/>
    <n v="2200"/>
    <n v="7.0000000000000007E-2"/>
    <s v="تحويل بنكي"/>
    <x v="1"/>
    <s v="عميل 6"/>
    <n v="15400"/>
    <n v="14321.999999999998"/>
  </r>
  <r>
    <n v="10610"/>
    <s v="محمد"/>
    <d v="2026-06-07T00:00:00"/>
    <x v="0"/>
    <s v="تخزين"/>
    <x v="2"/>
    <x v="12"/>
    <n v="5"/>
    <n v="650"/>
    <n v="0.05"/>
    <s v="تحويل بنكي"/>
    <x v="2"/>
    <s v="عميل 4"/>
    <n v="3250"/>
    <n v="3087.5"/>
  </r>
  <r>
    <n v="10611"/>
    <s v="حسن"/>
    <d v="2026-11-12T00:00:00"/>
    <x v="13"/>
    <s v="أجهزة كمبيوتر"/>
    <x v="3"/>
    <x v="17"/>
    <n v="7"/>
    <n v="28000"/>
    <n v="0.15"/>
    <s v="كاش"/>
    <x v="1"/>
    <s v="عميل 100"/>
    <n v="196000"/>
    <n v="166600"/>
  </r>
  <r>
    <n v="10612"/>
    <s v="أحمد"/>
    <d v="2026-11-27T00:00:00"/>
    <x v="9"/>
    <s v="إكسسوارات"/>
    <x v="3"/>
    <x v="24"/>
    <n v="8"/>
    <n v="1800"/>
    <n v="7.0000000000000007E-2"/>
    <s v="فيزا"/>
    <x v="3"/>
    <s v="عميل 80"/>
    <n v="14400"/>
    <n v="13392"/>
  </r>
  <r>
    <n v="10613"/>
    <s v="علي"/>
    <d v="2026-01-29T00:00:00"/>
    <x v="0"/>
    <s v="تخزين"/>
    <x v="4"/>
    <x v="11"/>
    <n v="6"/>
    <n v="650"/>
    <n v="7.0000000000000007E-2"/>
    <s v="تحويل بنكي"/>
    <x v="2"/>
    <s v="عميل 285"/>
    <n v="3900"/>
    <n v="3626.9999999999995"/>
  </r>
  <r>
    <n v="10614"/>
    <s v="محمود"/>
    <d v="2026-07-01T00:00:00"/>
    <x v="7"/>
    <s v="تخزين"/>
    <x v="1"/>
    <x v="10"/>
    <n v="10"/>
    <n v="3200"/>
    <n v="0.15"/>
    <s v="كاش"/>
    <x v="1"/>
    <s v="عميل 144"/>
    <n v="32000"/>
    <n v="27200"/>
  </r>
  <r>
    <n v="10615"/>
    <s v="مصطفى"/>
    <d v="2026-03-26T00:00:00"/>
    <x v="8"/>
    <s v="إكسسوارات"/>
    <x v="1"/>
    <x v="6"/>
    <n v="7"/>
    <n v="1400"/>
    <n v="0.15"/>
    <s v="محفظة إلكترونية"/>
    <x v="1"/>
    <s v="عميل 60"/>
    <n v="9800"/>
    <n v="8330"/>
  </r>
  <r>
    <n v="10616"/>
    <s v="أحمد"/>
    <d v="2026-05-20T00:00:00"/>
    <x v="8"/>
    <s v="إكسسوارات"/>
    <x v="7"/>
    <x v="19"/>
    <n v="6"/>
    <n v="1400"/>
    <n v="0.15"/>
    <s v="محفظة إلكترونية"/>
    <x v="0"/>
    <s v="عميل 255"/>
    <n v="8400"/>
    <n v="7140"/>
  </r>
  <r>
    <n v="10617"/>
    <s v="مؤمن"/>
    <d v="2026-09-26T00:00:00"/>
    <x v="11"/>
    <s v="طابعات"/>
    <x v="2"/>
    <x v="2"/>
    <n v="8"/>
    <n v="6500"/>
    <n v="0.05"/>
    <s v="تحويل بنكي"/>
    <x v="1"/>
    <s v="عميل 58"/>
    <n v="52000"/>
    <n v="49400"/>
  </r>
  <r>
    <n v="10618"/>
    <s v="مصطفى"/>
    <d v="2026-01-13T00:00:00"/>
    <x v="9"/>
    <s v="إكسسوارات"/>
    <x v="1"/>
    <x v="10"/>
    <n v="2"/>
    <n v="1800"/>
    <n v="7.0000000000000007E-2"/>
    <s v="محفظة إلكترونية"/>
    <x v="1"/>
    <s v="عميل 98"/>
    <n v="3600"/>
    <n v="3348"/>
  </r>
  <r>
    <n v="10619"/>
    <s v="محمود"/>
    <d v="2026-03-15T00:00:00"/>
    <x v="9"/>
    <s v="إكسسوارات"/>
    <x v="4"/>
    <x v="11"/>
    <n v="9"/>
    <n v="1800"/>
    <n v="0.05"/>
    <s v="كاش"/>
    <x v="1"/>
    <s v="عميل 106"/>
    <n v="16200"/>
    <n v="15390"/>
  </r>
  <r>
    <n v="10620"/>
    <s v="مصطفى"/>
    <d v="2026-03-01T00:00:00"/>
    <x v="10"/>
    <s v="شبكات"/>
    <x v="1"/>
    <x v="3"/>
    <n v="7"/>
    <n v="2200"/>
    <n v="0.15"/>
    <s v="كاش"/>
    <x v="2"/>
    <s v="عميل 23"/>
    <n v="15400"/>
    <n v="13090"/>
  </r>
  <r>
    <n v="10621"/>
    <s v="محمد"/>
    <d v="2026-09-24T00:00:00"/>
    <x v="0"/>
    <s v="تخزين"/>
    <x v="0"/>
    <x v="13"/>
    <n v="8"/>
    <n v="650"/>
    <n v="0"/>
    <s v="تحويل بنكي"/>
    <x v="0"/>
    <s v="عميل 296"/>
    <n v="5200"/>
    <n v="5200"/>
  </r>
  <r>
    <n v="10622"/>
    <s v="مؤمن"/>
    <d v="2026-04-09T00:00:00"/>
    <x v="4"/>
    <s v="شبكات"/>
    <x v="7"/>
    <x v="19"/>
    <n v="4"/>
    <n v="150"/>
    <n v="0.05"/>
    <s v="تحويل بنكي"/>
    <x v="2"/>
    <s v="عميل 273"/>
    <n v="600"/>
    <n v="570"/>
  </r>
  <r>
    <n v="10623"/>
    <s v="يوسف"/>
    <d v="2026-03-22T00:00:00"/>
    <x v="9"/>
    <s v="إكسسوارات"/>
    <x v="4"/>
    <x v="11"/>
    <n v="2"/>
    <n v="1800"/>
    <n v="0.05"/>
    <s v="تحويل بنكي"/>
    <x v="0"/>
    <s v="عميل 8"/>
    <n v="3600"/>
    <n v="3420"/>
  </r>
  <r>
    <n v="10624"/>
    <s v="مصطفى"/>
    <d v="2026-06-13T00:00:00"/>
    <x v="12"/>
    <s v="تخزين"/>
    <x v="0"/>
    <x v="16"/>
    <n v="9"/>
    <n v="5200"/>
    <n v="0.05"/>
    <s v="تحويل بنكي"/>
    <x v="1"/>
    <s v="عميل 146"/>
    <n v="46800"/>
    <n v="44460"/>
  </r>
  <r>
    <n v="10625"/>
    <s v="حسن"/>
    <d v="2026-06-23T00:00:00"/>
    <x v="12"/>
    <s v="تخزين"/>
    <x v="2"/>
    <x v="5"/>
    <n v="2"/>
    <n v="5200"/>
    <n v="0.05"/>
    <s v="محفظة إلكترونية"/>
    <x v="0"/>
    <s v="عميل 67"/>
    <n v="10400"/>
    <n v="9880"/>
  </r>
  <r>
    <n v="10626"/>
    <s v="علي"/>
    <d v="2026-01-28T00:00:00"/>
    <x v="1"/>
    <s v="أجهزة كمبيوتر"/>
    <x v="4"/>
    <x v="11"/>
    <n v="1"/>
    <n v="25000"/>
    <n v="0"/>
    <s v="كاش"/>
    <x v="3"/>
    <s v="عميل 201"/>
    <n v="25000"/>
    <n v="25000"/>
  </r>
  <r>
    <n v="10627"/>
    <s v="محمود"/>
    <d v="2026-04-12T00:00:00"/>
    <x v="3"/>
    <s v="أجهزة كمبيوتر"/>
    <x v="4"/>
    <x v="11"/>
    <n v="6"/>
    <n v="32000"/>
    <n v="0.05"/>
    <s v="كاش"/>
    <x v="3"/>
    <s v="عميل 291"/>
    <n v="192000"/>
    <n v="182400"/>
  </r>
  <r>
    <n v="10628"/>
    <s v="عمر"/>
    <d v="2026-12-17T00:00:00"/>
    <x v="3"/>
    <s v="أجهزة كمبيوتر"/>
    <x v="0"/>
    <x v="26"/>
    <n v="2"/>
    <n v="32000"/>
    <n v="7.0000000000000007E-2"/>
    <s v="محفظة إلكترونية"/>
    <x v="3"/>
    <s v="عميل 119"/>
    <n v="64000"/>
    <n v="59519.999999999993"/>
  </r>
  <r>
    <n v="10629"/>
    <s v="يوسف"/>
    <d v="2026-12-25T00:00:00"/>
    <x v="5"/>
    <s v="إكسسوارات"/>
    <x v="5"/>
    <x v="21"/>
    <n v="6"/>
    <n v="1200"/>
    <n v="7.0000000000000007E-2"/>
    <s v="تحويل بنكي"/>
    <x v="2"/>
    <s v="عميل 233"/>
    <n v="7200"/>
    <n v="6696"/>
  </r>
  <r>
    <n v="10630"/>
    <s v="محمود"/>
    <d v="2026-09-03T00:00:00"/>
    <x v="6"/>
    <s v="شاشات"/>
    <x v="1"/>
    <x v="1"/>
    <n v="8"/>
    <n v="9000"/>
    <n v="0"/>
    <s v="محفظة إلكترونية"/>
    <x v="1"/>
    <s v="عميل 145"/>
    <n v="72000"/>
    <n v="72000"/>
  </r>
  <r>
    <n v="10631"/>
    <s v="مصطفى"/>
    <d v="2026-02-22T00:00:00"/>
    <x v="4"/>
    <s v="شبكات"/>
    <x v="3"/>
    <x v="24"/>
    <n v="10"/>
    <n v="150"/>
    <n v="0.03"/>
    <s v="محفظة إلكترونية"/>
    <x v="0"/>
    <s v="عميل 167"/>
    <n v="1500"/>
    <n v="1455"/>
  </r>
  <r>
    <n v="10632"/>
    <s v="علي"/>
    <d v="2026-10-30T00:00:00"/>
    <x v="7"/>
    <s v="تخزين"/>
    <x v="0"/>
    <x v="13"/>
    <n v="9"/>
    <n v="3200"/>
    <n v="7.0000000000000007E-2"/>
    <s v="محفظة إلكترونية"/>
    <x v="1"/>
    <s v="عميل 125"/>
    <n v="28800"/>
    <n v="26784"/>
  </r>
  <r>
    <n v="10633"/>
    <s v="محمود"/>
    <d v="2026-04-17T00:00:00"/>
    <x v="7"/>
    <s v="تخزين"/>
    <x v="5"/>
    <x v="8"/>
    <n v="7"/>
    <n v="3200"/>
    <n v="0"/>
    <s v="محفظة إلكترونية"/>
    <x v="3"/>
    <s v="عميل 291"/>
    <n v="22400"/>
    <n v="22400"/>
  </r>
  <r>
    <n v="10634"/>
    <s v="محمد"/>
    <d v="2026-12-31T00:00:00"/>
    <x v="4"/>
    <s v="شبكات"/>
    <x v="3"/>
    <x v="24"/>
    <n v="4"/>
    <n v="150"/>
    <n v="0.03"/>
    <s v="محفظة إلكترونية"/>
    <x v="0"/>
    <s v="عميل 238"/>
    <n v="600"/>
    <n v="582"/>
  </r>
  <r>
    <n v="10635"/>
    <s v="علي"/>
    <d v="2026-02-05T00:00:00"/>
    <x v="9"/>
    <s v="إكسسوارات"/>
    <x v="0"/>
    <x v="26"/>
    <n v="3"/>
    <n v="1800"/>
    <n v="0.05"/>
    <s v="كاش"/>
    <x v="3"/>
    <s v="عميل 168"/>
    <n v="5400"/>
    <n v="5130"/>
  </r>
  <r>
    <n v="10636"/>
    <s v="حسن"/>
    <d v="2026-11-22T00:00:00"/>
    <x v="6"/>
    <s v="شاشات"/>
    <x v="1"/>
    <x v="1"/>
    <n v="4"/>
    <n v="9000"/>
    <n v="0.03"/>
    <s v="كاش"/>
    <x v="1"/>
    <s v="عميل 77"/>
    <n v="36000"/>
    <n v="34920"/>
  </r>
  <r>
    <n v="10637"/>
    <s v="كريم"/>
    <d v="2026-04-11T00:00:00"/>
    <x v="6"/>
    <s v="شاشات"/>
    <x v="7"/>
    <x v="15"/>
    <n v="10"/>
    <n v="9000"/>
    <n v="0.1"/>
    <s v="فيزا"/>
    <x v="2"/>
    <s v="عميل 154"/>
    <n v="90000"/>
    <n v="81000"/>
  </r>
  <r>
    <n v="10638"/>
    <s v="حسن"/>
    <d v="2026-01-05T00:00:00"/>
    <x v="12"/>
    <s v="تخزين"/>
    <x v="7"/>
    <x v="15"/>
    <n v="6"/>
    <n v="5200"/>
    <n v="0"/>
    <s v="محفظة إلكترونية"/>
    <x v="1"/>
    <s v="عميل 151"/>
    <n v="31200"/>
    <n v="31200"/>
  </r>
  <r>
    <n v="10639"/>
    <s v="مصطفى"/>
    <d v="2026-07-03T00:00:00"/>
    <x v="1"/>
    <s v="أجهزة كمبيوتر"/>
    <x v="3"/>
    <x v="24"/>
    <n v="1"/>
    <n v="25000"/>
    <n v="0"/>
    <s v="كاش"/>
    <x v="2"/>
    <s v="عميل 16"/>
    <n v="25000"/>
    <n v="25000"/>
  </r>
  <r>
    <n v="10640"/>
    <s v="محمود"/>
    <d v="2026-12-31T00:00:00"/>
    <x v="5"/>
    <s v="إكسسوارات"/>
    <x v="6"/>
    <x v="22"/>
    <n v="10"/>
    <n v="1200"/>
    <n v="7.0000000000000007E-2"/>
    <s v="محفظة إلكترونية"/>
    <x v="3"/>
    <s v="عميل 196"/>
    <n v="12000"/>
    <n v="11160"/>
  </r>
  <r>
    <n v="10641"/>
    <s v="يوسف"/>
    <d v="2026-04-07T00:00:00"/>
    <x v="2"/>
    <s v="شاشات"/>
    <x v="2"/>
    <x v="12"/>
    <n v="3"/>
    <n v="7500"/>
    <n v="7.0000000000000007E-2"/>
    <s v="محفظة إلكترونية"/>
    <x v="2"/>
    <s v="عميل 214"/>
    <n v="22500"/>
    <n v="20925"/>
  </r>
  <r>
    <n v="10642"/>
    <s v="أحمد"/>
    <d v="2026-02-06T00:00:00"/>
    <x v="3"/>
    <s v="أجهزة كمبيوتر"/>
    <x v="7"/>
    <x v="19"/>
    <n v="3"/>
    <n v="32000"/>
    <n v="0.03"/>
    <s v="كاش"/>
    <x v="1"/>
    <s v="عميل 250"/>
    <n v="96000"/>
    <n v="93120"/>
  </r>
  <r>
    <n v="10643"/>
    <s v="علي"/>
    <d v="2026-08-22T00:00:00"/>
    <x v="0"/>
    <s v="تخزين"/>
    <x v="6"/>
    <x v="23"/>
    <n v="2"/>
    <n v="650"/>
    <n v="0.03"/>
    <s v="محفظة إلكترونية"/>
    <x v="1"/>
    <s v="عميل 233"/>
    <n v="1300"/>
    <n v="1261"/>
  </r>
  <r>
    <n v="10644"/>
    <s v="محمود"/>
    <d v="2026-04-26T00:00:00"/>
    <x v="7"/>
    <s v="تخزين"/>
    <x v="6"/>
    <x v="22"/>
    <n v="8"/>
    <n v="3200"/>
    <n v="7.0000000000000007E-2"/>
    <s v="فيزا"/>
    <x v="3"/>
    <s v="عميل 4"/>
    <n v="25600"/>
    <n v="23808"/>
  </r>
  <r>
    <n v="10645"/>
    <s v="مصطفى"/>
    <d v="2026-05-18T00:00:00"/>
    <x v="12"/>
    <s v="تخزين"/>
    <x v="4"/>
    <x v="11"/>
    <n v="4"/>
    <n v="5200"/>
    <n v="0.15"/>
    <s v="محفظة إلكترونية"/>
    <x v="2"/>
    <s v="عميل 18"/>
    <n v="20800"/>
    <n v="17680"/>
  </r>
  <r>
    <n v="10646"/>
    <s v="حسن"/>
    <d v="2026-09-04T00:00:00"/>
    <x v="1"/>
    <s v="أجهزة كمبيوتر"/>
    <x v="4"/>
    <x v="11"/>
    <n v="6"/>
    <n v="25000"/>
    <n v="0"/>
    <s v="كاش"/>
    <x v="1"/>
    <s v="عميل 270"/>
    <n v="150000"/>
    <n v="150000"/>
  </r>
  <r>
    <n v="10647"/>
    <s v="مصطفى"/>
    <d v="2026-11-09T00:00:00"/>
    <x v="8"/>
    <s v="إكسسوارات"/>
    <x v="7"/>
    <x v="15"/>
    <n v="9"/>
    <n v="1400"/>
    <n v="0"/>
    <s v="كاش"/>
    <x v="1"/>
    <s v="عميل 242"/>
    <n v="12600"/>
    <n v="12600"/>
  </r>
  <r>
    <n v="10648"/>
    <s v="محمود"/>
    <d v="2026-10-01T00:00:00"/>
    <x v="0"/>
    <s v="تخزين"/>
    <x v="0"/>
    <x v="13"/>
    <n v="10"/>
    <n v="650"/>
    <n v="0"/>
    <s v="كاش"/>
    <x v="3"/>
    <s v="عميل 233"/>
    <n v="6500"/>
    <n v="6500"/>
  </r>
  <r>
    <n v="10649"/>
    <s v="محمود"/>
    <d v="2026-05-31T00:00:00"/>
    <x v="7"/>
    <s v="تخزين"/>
    <x v="4"/>
    <x v="11"/>
    <n v="6"/>
    <n v="3200"/>
    <n v="7.0000000000000007E-2"/>
    <s v="تحويل بنكي"/>
    <x v="1"/>
    <s v="عميل 19"/>
    <n v="19200"/>
    <n v="17856"/>
  </r>
  <r>
    <n v="10650"/>
    <s v="أحمد"/>
    <d v="2026-11-19T00:00:00"/>
    <x v="10"/>
    <s v="شبكات"/>
    <x v="7"/>
    <x v="19"/>
    <n v="10"/>
    <n v="2200"/>
    <n v="0.05"/>
    <s v="محفظة إلكترونية"/>
    <x v="1"/>
    <s v="عميل 294"/>
    <n v="22000"/>
    <n v="20900"/>
  </r>
  <r>
    <n v="10651"/>
    <s v="عمر"/>
    <d v="2026-09-06T00:00:00"/>
    <x v="1"/>
    <s v="أجهزة كمبيوتر"/>
    <x v="7"/>
    <x v="19"/>
    <n v="10"/>
    <n v="25000"/>
    <n v="0"/>
    <s v="كاش"/>
    <x v="1"/>
    <s v="عميل 259"/>
    <n v="250000"/>
    <n v="250000"/>
  </r>
  <r>
    <n v="10652"/>
    <s v="عمر"/>
    <d v="2026-05-21T00:00:00"/>
    <x v="13"/>
    <s v="أجهزة كمبيوتر"/>
    <x v="7"/>
    <x v="15"/>
    <n v="3"/>
    <n v="28000"/>
    <n v="0.1"/>
    <s v="تحويل بنكي"/>
    <x v="0"/>
    <s v="عميل 58"/>
    <n v="84000"/>
    <n v="75600"/>
  </r>
  <r>
    <n v="10653"/>
    <s v="يوسف"/>
    <d v="2026-05-14T00:00:00"/>
    <x v="12"/>
    <s v="تخزين"/>
    <x v="5"/>
    <x v="25"/>
    <n v="8"/>
    <n v="5200"/>
    <n v="0.05"/>
    <s v="فيزا"/>
    <x v="3"/>
    <s v="عميل 93"/>
    <n v="41600"/>
    <n v="39520"/>
  </r>
  <r>
    <n v="10654"/>
    <s v="حسن"/>
    <d v="2026-03-20T00:00:00"/>
    <x v="4"/>
    <s v="شبكات"/>
    <x v="1"/>
    <x v="6"/>
    <n v="2"/>
    <n v="150"/>
    <n v="0.03"/>
    <s v="محفظة إلكترونية"/>
    <x v="3"/>
    <s v="عميل 197"/>
    <n v="300"/>
    <n v="291"/>
  </r>
  <r>
    <n v="10655"/>
    <s v="حسن"/>
    <d v="2026-06-26T00:00:00"/>
    <x v="5"/>
    <s v="إكسسوارات"/>
    <x v="4"/>
    <x v="11"/>
    <n v="3"/>
    <n v="1200"/>
    <n v="0.03"/>
    <s v="كاش"/>
    <x v="2"/>
    <s v="عميل 60"/>
    <n v="3600"/>
    <n v="3492"/>
  </r>
  <r>
    <n v="10656"/>
    <s v="عمر"/>
    <d v="2026-09-01T00:00:00"/>
    <x v="1"/>
    <s v="أجهزة كمبيوتر"/>
    <x v="5"/>
    <x v="8"/>
    <n v="7"/>
    <n v="25000"/>
    <n v="7.0000000000000007E-2"/>
    <s v="فيزا"/>
    <x v="3"/>
    <s v="عميل 200"/>
    <n v="175000"/>
    <n v="162750"/>
  </r>
  <r>
    <n v="10657"/>
    <s v="أحمد"/>
    <d v="2026-05-28T00:00:00"/>
    <x v="6"/>
    <s v="شاشات"/>
    <x v="7"/>
    <x v="18"/>
    <n v="9"/>
    <n v="9000"/>
    <n v="7.0000000000000007E-2"/>
    <s v="محفظة إلكترونية"/>
    <x v="3"/>
    <s v="عميل 162"/>
    <n v="81000"/>
    <n v="75330"/>
  </r>
  <r>
    <n v="10658"/>
    <s v="محمود"/>
    <d v="2026-08-10T00:00:00"/>
    <x v="7"/>
    <s v="تخزين"/>
    <x v="1"/>
    <x v="1"/>
    <n v="9"/>
    <n v="3200"/>
    <n v="0.15"/>
    <s v="تحويل بنكي"/>
    <x v="2"/>
    <s v="عميل 139"/>
    <n v="28800"/>
    <n v="24480"/>
  </r>
  <r>
    <n v="10659"/>
    <s v="كريم"/>
    <d v="2026-12-12T00:00:00"/>
    <x v="14"/>
    <s v="إكسسوارات"/>
    <x v="0"/>
    <x v="13"/>
    <n v="10"/>
    <n v="450"/>
    <n v="7.0000000000000007E-2"/>
    <s v="فيزا"/>
    <x v="1"/>
    <s v="عميل 267"/>
    <n v="4500"/>
    <n v="4185"/>
  </r>
  <r>
    <n v="10660"/>
    <s v="أحمد"/>
    <d v="2026-02-04T00:00:00"/>
    <x v="9"/>
    <s v="إكسسوارات"/>
    <x v="5"/>
    <x v="21"/>
    <n v="9"/>
    <n v="1800"/>
    <n v="0"/>
    <s v="كاش"/>
    <x v="3"/>
    <s v="عميل 51"/>
    <n v="16200"/>
    <n v="16200"/>
  </r>
  <r>
    <n v="10661"/>
    <s v="عمر"/>
    <d v="2026-05-09T00:00:00"/>
    <x v="7"/>
    <s v="تخزين"/>
    <x v="0"/>
    <x v="26"/>
    <n v="6"/>
    <n v="3200"/>
    <n v="0.03"/>
    <s v="فيزا"/>
    <x v="0"/>
    <s v="عميل 13"/>
    <n v="19200"/>
    <n v="18624"/>
  </r>
  <r>
    <n v="10662"/>
    <s v="مؤمن"/>
    <d v="2026-11-03T00:00:00"/>
    <x v="12"/>
    <s v="تخزين"/>
    <x v="0"/>
    <x v="0"/>
    <n v="10"/>
    <n v="5200"/>
    <n v="0.15"/>
    <s v="كاش"/>
    <x v="0"/>
    <s v="عميل 45"/>
    <n v="52000"/>
    <n v="44200"/>
  </r>
  <r>
    <n v="10663"/>
    <s v="محمد"/>
    <d v="2026-12-23T00:00:00"/>
    <x v="8"/>
    <s v="إكسسوارات"/>
    <x v="5"/>
    <x v="8"/>
    <n v="10"/>
    <n v="1400"/>
    <n v="0.03"/>
    <s v="فيزا"/>
    <x v="2"/>
    <s v="عميل 151"/>
    <n v="14000"/>
    <n v="13580"/>
  </r>
  <r>
    <n v="10664"/>
    <s v="محمود"/>
    <d v="2026-05-12T00:00:00"/>
    <x v="6"/>
    <s v="شاشات"/>
    <x v="0"/>
    <x v="26"/>
    <n v="5"/>
    <n v="9000"/>
    <n v="7.0000000000000007E-2"/>
    <s v="فيزا"/>
    <x v="0"/>
    <s v="عميل 142"/>
    <n v="45000"/>
    <n v="41850"/>
  </r>
  <r>
    <n v="10665"/>
    <s v="أحمد"/>
    <d v="2026-05-13T00:00:00"/>
    <x v="4"/>
    <s v="شبكات"/>
    <x v="1"/>
    <x v="3"/>
    <n v="7"/>
    <n v="150"/>
    <n v="0.05"/>
    <s v="تحويل بنكي"/>
    <x v="1"/>
    <s v="عميل 226"/>
    <n v="1050"/>
    <n v="997.5"/>
  </r>
  <r>
    <n v="10666"/>
    <s v="يوسف"/>
    <d v="2026-11-27T00:00:00"/>
    <x v="13"/>
    <s v="أجهزة كمبيوتر"/>
    <x v="4"/>
    <x v="7"/>
    <n v="10"/>
    <n v="28000"/>
    <n v="7.0000000000000007E-2"/>
    <s v="محفظة إلكترونية"/>
    <x v="0"/>
    <s v="عميل 74"/>
    <n v="280000"/>
    <n v="260399.99999999997"/>
  </r>
  <r>
    <n v="10667"/>
    <s v="محمد"/>
    <d v="2026-08-15T00:00:00"/>
    <x v="7"/>
    <s v="تخزين"/>
    <x v="6"/>
    <x v="23"/>
    <n v="10"/>
    <n v="3200"/>
    <n v="0.15"/>
    <s v="تحويل بنكي"/>
    <x v="0"/>
    <s v="عميل 18"/>
    <n v="32000"/>
    <n v="27200"/>
  </r>
  <r>
    <n v="10668"/>
    <s v="كريم"/>
    <d v="2026-03-18T00:00:00"/>
    <x v="13"/>
    <s v="أجهزة كمبيوتر"/>
    <x v="0"/>
    <x v="13"/>
    <n v="8"/>
    <n v="28000"/>
    <n v="0"/>
    <s v="كاش"/>
    <x v="0"/>
    <s v="عميل 200"/>
    <n v="224000"/>
    <n v="224000"/>
  </r>
  <r>
    <n v="10669"/>
    <s v="أحمد"/>
    <d v="2026-09-21T00:00:00"/>
    <x v="14"/>
    <s v="إكسسوارات"/>
    <x v="5"/>
    <x v="21"/>
    <n v="7"/>
    <n v="450"/>
    <n v="0.1"/>
    <s v="محفظة إلكترونية"/>
    <x v="3"/>
    <s v="عميل 224"/>
    <n v="3150"/>
    <n v="2835"/>
  </r>
  <r>
    <n v="10670"/>
    <s v="كريم"/>
    <d v="2026-03-04T00:00:00"/>
    <x v="2"/>
    <s v="شاشات"/>
    <x v="0"/>
    <x v="16"/>
    <n v="1"/>
    <n v="7500"/>
    <n v="7.0000000000000007E-2"/>
    <s v="تحويل بنكي"/>
    <x v="2"/>
    <s v="عميل 156"/>
    <n v="7500"/>
    <n v="6974.9999999999991"/>
  </r>
  <r>
    <n v="10671"/>
    <s v="محمود"/>
    <d v="2026-02-11T00:00:00"/>
    <x v="2"/>
    <s v="شاشات"/>
    <x v="1"/>
    <x v="1"/>
    <n v="6"/>
    <n v="7500"/>
    <n v="0.1"/>
    <s v="محفظة إلكترونية"/>
    <x v="2"/>
    <s v="عميل 104"/>
    <n v="45000"/>
    <n v="40500"/>
  </r>
  <r>
    <n v="10672"/>
    <s v="علي"/>
    <d v="2026-02-24T00:00:00"/>
    <x v="3"/>
    <s v="أجهزة كمبيوتر"/>
    <x v="1"/>
    <x v="3"/>
    <n v="4"/>
    <n v="32000"/>
    <n v="0.05"/>
    <s v="تحويل بنكي"/>
    <x v="3"/>
    <s v="عميل 44"/>
    <n v="128000"/>
    <n v="121600"/>
  </r>
  <r>
    <n v="10673"/>
    <s v="أحمد"/>
    <d v="2026-04-09T00:00:00"/>
    <x v="11"/>
    <s v="طابعات"/>
    <x v="4"/>
    <x v="11"/>
    <n v="4"/>
    <n v="6500"/>
    <n v="0.03"/>
    <s v="كاش"/>
    <x v="1"/>
    <s v="عميل 251"/>
    <n v="26000"/>
    <n v="25220"/>
  </r>
  <r>
    <n v="10674"/>
    <s v="كريم"/>
    <d v="2026-01-09T00:00:00"/>
    <x v="2"/>
    <s v="شاشات"/>
    <x v="0"/>
    <x v="13"/>
    <n v="8"/>
    <n v="7500"/>
    <n v="0.1"/>
    <s v="كاش"/>
    <x v="2"/>
    <s v="عميل 29"/>
    <n v="60000"/>
    <n v="54000"/>
  </r>
  <r>
    <n v="10675"/>
    <s v="مصطفى"/>
    <d v="2026-08-23T00:00:00"/>
    <x v="9"/>
    <s v="إكسسوارات"/>
    <x v="1"/>
    <x v="3"/>
    <n v="2"/>
    <n v="1800"/>
    <n v="0.03"/>
    <s v="فيزا"/>
    <x v="1"/>
    <s v="عميل 37"/>
    <n v="3600"/>
    <n v="3492"/>
  </r>
  <r>
    <n v="10676"/>
    <s v="حسن"/>
    <d v="2026-01-24T00:00:00"/>
    <x v="1"/>
    <s v="أجهزة كمبيوتر"/>
    <x v="5"/>
    <x v="8"/>
    <n v="1"/>
    <n v="25000"/>
    <n v="7.0000000000000007E-2"/>
    <s v="فيزا"/>
    <x v="1"/>
    <s v="عميل 8"/>
    <n v="25000"/>
    <n v="23250"/>
  </r>
  <r>
    <n v="10677"/>
    <s v="حسن"/>
    <d v="2026-03-29T00:00:00"/>
    <x v="3"/>
    <s v="أجهزة كمبيوتر"/>
    <x v="1"/>
    <x v="6"/>
    <n v="2"/>
    <n v="32000"/>
    <n v="7.0000000000000007E-2"/>
    <s v="كاش"/>
    <x v="0"/>
    <s v="عميل 59"/>
    <n v="64000"/>
    <n v="59519.999999999993"/>
  </r>
  <r>
    <n v="10678"/>
    <s v="محمود"/>
    <d v="2026-12-14T00:00:00"/>
    <x v="6"/>
    <s v="شاشات"/>
    <x v="2"/>
    <x v="5"/>
    <n v="4"/>
    <n v="9000"/>
    <n v="7.0000000000000007E-2"/>
    <s v="محفظة إلكترونية"/>
    <x v="2"/>
    <s v="عميل 62"/>
    <n v="36000"/>
    <n v="33480"/>
  </r>
  <r>
    <n v="10679"/>
    <s v="حسن"/>
    <d v="2026-03-30T00:00:00"/>
    <x v="0"/>
    <s v="تخزين"/>
    <x v="5"/>
    <x v="21"/>
    <n v="4"/>
    <n v="650"/>
    <n v="0"/>
    <s v="تحويل بنكي"/>
    <x v="0"/>
    <s v="عميل 62"/>
    <n v="2600"/>
    <n v="2600"/>
  </r>
  <r>
    <n v="10680"/>
    <s v="محمود"/>
    <d v="2026-10-11T00:00:00"/>
    <x v="14"/>
    <s v="إكسسوارات"/>
    <x v="5"/>
    <x v="8"/>
    <n v="3"/>
    <n v="450"/>
    <n v="0.15"/>
    <s v="فيزا"/>
    <x v="3"/>
    <s v="عميل 125"/>
    <n v="1350"/>
    <n v="1147.5"/>
  </r>
  <r>
    <n v="10681"/>
    <s v="حسن"/>
    <d v="2026-07-12T00:00:00"/>
    <x v="11"/>
    <s v="طابعات"/>
    <x v="1"/>
    <x v="10"/>
    <n v="2"/>
    <n v="6500"/>
    <n v="0.15"/>
    <s v="فيزا"/>
    <x v="0"/>
    <s v="عميل 250"/>
    <n v="13000"/>
    <n v="11050"/>
  </r>
  <r>
    <n v="10682"/>
    <s v="حسن"/>
    <d v="2026-05-26T00:00:00"/>
    <x v="13"/>
    <s v="أجهزة كمبيوتر"/>
    <x v="1"/>
    <x v="1"/>
    <n v="3"/>
    <n v="28000"/>
    <n v="0"/>
    <s v="محفظة إلكترونية"/>
    <x v="3"/>
    <s v="عميل 65"/>
    <n v="84000"/>
    <n v="84000"/>
  </r>
  <r>
    <n v="10683"/>
    <s v="علي"/>
    <d v="2026-05-03T00:00:00"/>
    <x v="5"/>
    <s v="إكسسوارات"/>
    <x v="5"/>
    <x v="21"/>
    <n v="9"/>
    <n v="1200"/>
    <n v="7.0000000000000007E-2"/>
    <s v="فيزا"/>
    <x v="0"/>
    <s v="عميل 93"/>
    <n v="10800"/>
    <n v="10044"/>
  </r>
  <r>
    <n v="10684"/>
    <s v="عمر"/>
    <d v="2026-06-28T00:00:00"/>
    <x v="10"/>
    <s v="شبكات"/>
    <x v="4"/>
    <x v="11"/>
    <n v="2"/>
    <n v="2200"/>
    <n v="0.15"/>
    <s v="محفظة إلكترونية"/>
    <x v="0"/>
    <s v="عميل 286"/>
    <n v="4400"/>
    <n v="3740"/>
  </r>
  <r>
    <n v="10685"/>
    <s v="حسن"/>
    <d v="2026-07-05T00:00:00"/>
    <x v="5"/>
    <s v="إكسسوارات"/>
    <x v="2"/>
    <x v="5"/>
    <n v="9"/>
    <n v="1200"/>
    <n v="0"/>
    <s v="فيزا"/>
    <x v="3"/>
    <s v="عميل 107"/>
    <n v="10800"/>
    <n v="10800"/>
  </r>
  <r>
    <n v="10686"/>
    <s v="كريم"/>
    <d v="2026-09-12T00:00:00"/>
    <x v="14"/>
    <s v="إكسسوارات"/>
    <x v="1"/>
    <x v="10"/>
    <n v="2"/>
    <n v="450"/>
    <n v="0.03"/>
    <s v="فيزا"/>
    <x v="1"/>
    <s v="عميل 23"/>
    <n v="900"/>
    <n v="873"/>
  </r>
  <r>
    <n v="10687"/>
    <s v="عمر"/>
    <d v="2026-06-21T00:00:00"/>
    <x v="1"/>
    <s v="أجهزة كمبيوتر"/>
    <x v="3"/>
    <x v="17"/>
    <n v="4"/>
    <n v="25000"/>
    <n v="7.0000000000000007E-2"/>
    <s v="محفظة إلكترونية"/>
    <x v="0"/>
    <s v="عميل 54"/>
    <n v="100000"/>
    <n v="93000"/>
  </r>
  <r>
    <n v="10688"/>
    <s v="كريم"/>
    <d v="2026-09-21T00:00:00"/>
    <x v="10"/>
    <s v="شبكات"/>
    <x v="1"/>
    <x v="10"/>
    <n v="3"/>
    <n v="2200"/>
    <n v="0"/>
    <s v="كاش"/>
    <x v="0"/>
    <s v="عميل 121"/>
    <n v="6600"/>
    <n v="6600"/>
  </r>
  <r>
    <n v="10689"/>
    <s v="علي"/>
    <d v="2026-04-12T00:00:00"/>
    <x v="10"/>
    <s v="شبكات"/>
    <x v="4"/>
    <x v="11"/>
    <n v="10"/>
    <n v="2200"/>
    <n v="0.05"/>
    <s v="تحويل بنكي"/>
    <x v="1"/>
    <s v="عميل 57"/>
    <n v="22000"/>
    <n v="20900"/>
  </r>
  <r>
    <n v="10690"/>
    <s v="علي"/>
    <d v="2026-04-13T00:00:00"/>
    <x v="9"/>
    <s v="إكسسوارات"/>
    <x v="2"/>
    <x v="5"/>
    <n v="4"/>
    <n v="1800"/>
    <n v="0.15"/>
    <s v="محفظة إلكترونية"/>
    <x v="1"/>
    <s v="عميل 38"/>
    <n v="7200"/>
    <n v="6120"/>
  </r>
  <r>
    <n v="10691"/>
    <s v="مؤمن"/>
    <d v="2026-11-09T00:00:00"/>
    <x v="6"/>
    <s v="شاشات"/>
    <x v="4"/>
    <x v="7"/>
    <n v="7"/>
    <n v="9000"/>
    <n v="0.03"/>
    <s v="محفظة إلكترونية"/>
    <x v="1"/>
    <s v="عميل 199"/>
    <n v="63000"/>
    <n v="61110"/>
  </r>
  <r>
    <n v="10692"/>
    <s v="محمود"/>
    <d v="2026-05-19T00:00:00"/>
    <x v="9"/>
    <s v="إكسسوارات"/>
    <x v="5"/>
    <x v="8"/>
    <n v="4"/>
    <n v="1800"/>
    <n v="0.15"/>
    <s v="فيزا"/>
    <x v="2"/>
    <s v="عميل 66"/>
    <n v="7200"/>
    <n v="6120"/>
  </r>
  <r>
    <n v="10693"/>
    <s v="كريم"/>
    <d v="2026-08-23T00:00:00"/>
    <x v="1"/>
    <s v="أجهزة كمبيوتر"/>
    <x v="1"/>
    <x v="6"/>
    <n v="3"/>
    <n v="25000"/>
    <n v="0"/>
    <s v="محفظة إلكترونية"/>
    <x v="1"/>
    <s v="عميل 176"/>
    <n v="75000"/>
    <n v="75000"/>
  </r>
  <r>
    <n v="10694"/>
    <s v="حسن"/>
    <d v="2026-03-29T00:00:00"/>
    <x v="5"/>
    <s v="إكسسوارات"/>
    <x v="7"/>
    <x v="19"/>
    <n v="3"/>
    <n v="1200"/>
    <n v="0.15"/>
    <s v="فيزا"/>
    <x v="0"/>
    <s v="عميل 211"/>
    <n v="3600"/>
    <n v="3060"/>
  </r>
  <r>
    <n v="10695"/>
    <s v="كريم"/>
    <d v="2026-05-23T00:00:00"/>
    <x v="8"/>
    <s v="إكسسوارات"/>
    <x v="4"/>
    <x v="7"/>
    <n v="10"/>
    <n v="1400"/>
    <n v="7.0000000000000007E-2"/>
    <s v="كاش"/>
    <x v="3"/>
    <s v="عميل 127"/>
    <n v="14000"/>
    <n v="13020"/>
  </r>
  <r>
    <n v="10696"/>
    <s v="حسن"/>
    <d v="2026-03-18T00:00:00"/>
    <x v="5"/>
    <s v="إكسسوارات"/>
    <x v="3"/>
    <x v="17"/>
    <n v="10"/>
    <n v="1200"/>
    <n v="0.03"/>
    <s v="كاش"/>
    <x v="3"/>
    <s v="عميل 23"/>
    <n v="12000"/>
    <n v="11640"/>
  </r>
  <r>
    <n v="10697"/>
    <s v="علي"/>
    <d v="2026-09-29T00:00:00"/>
    <x v="1"/>
    <s v="أجهزة كمبيوتر"/>
    <x v="4"/>
    <x v="11"/>
    <n v="9"/>
    <n v="25000"/>
    <n v="0"/>
    <s v="محفظة إلكترونية"/>
    <x v="3"/>
    <s v="عميل 51"/>
    <n v="225000"/>
    <n v="225000"/>
  </r>
  <r>
    <n v="10698"/>
    <s v="أحمد"/>
    <d v="2026-12-21T00:00:00"/>
    <x v="6"/>
    <s v="شاشات"/>
    <x v="4"/>
    <x v="7"/>
    <n v="2"/>
    <n v="9000"/>
    <n v="0.1"/>
    <s v="محفظة إلكترونية"/>
    <x v="1"/>
    <s v="عميل 68"/>
    <n v="18000"/>
    <n v="16200"/>
  </r>
  <r>
    <n v="10699"/>
    <s v="كريم"/>
    <d v="2026-12-09T00:00:00"/>
    <x v="9"/>
    <s v="إكسسوارات"/>
    <x v="7"/>
    <x v="18"/>
    <n v="2"/>
    <n v="1800"/>
    <n v="0"/>
    <s v="تحويل بنكي"/>
    <x v="1"/>
    <s v="عميل 236"/>
    <n v="3600"/>
    <n v="3600"/>
  </r>
  <r>
    <n v="10700"/>
    <s v="علي"/>
    <d v="2026-04-05T00:00:00"/>
    <x v="8"/>
    <s v="إكسسوارات"/>
    <x v="1"/>
    <x v="3"/>
    <n v="8"/>
    <n v="1400"/>
    <n v="0.03"/>
    <s v="تحويل بنكي"/>
    <x v="3"/>
    <s v="عميل 1"/>
    <n v="11200"/>
    <n v="10864"/>
  </r>
  <r>
    <n v="10701"/>
    <s v="أحمد"/>
    <d v="2026-06-01T00:00:00"/>
    <x v="8"/>
    <s v="إكسسوارات"/>
    <x v="0"/>
    <x v="26"/>
    <n v="6"/>
    <n v="1400"/>
    <n v="0.1"/>
    <s v="محفظة إلكترونية"/>
    <x v="2"/>
    <s v="عميل 278"/>
    <n v="8400"/>
    <n v="7560"/>
  </r>
  <r>
    <n v="10702"/>
    <s v="محمود"/>
    <d v="2026-01-29T00:00:00"/>
    <x v="12"/>
    <s v="تخزين"/>
    <x v="2"/>
    <x v="12"/>
    <n v="2"/>
    <n v="5200"/>
    <n v="0.1"/>
    <s v="تحويل بنكي"/>
    <x v="0"/>
    <s v="عميل 57"/>
    <n v="10400"/>
    <n v="9360"/>
  </r>
  <r>
    <n v="10703"/>
    <s v="محمود"/>
    <d v="2026-07-07T00:00:00"/>
    <x v="2"/>
    <s v="شاشات"/>
    <x v="3"/>
    <x v="17"/>
    <n v="10"/>
    <n v="7500"/>
    <n v="0"/>
    <s v="فيزا"/>
    <x v="0"/>
    <s v="عميل 288"/>
    <n v="75000"/>
    <n v="75000"/>
  </r>
  <r>
    <n v="10704"/>
    <s v="مصطفى"/>
    <d v="2026-02-28T00:00:00"/>
    <x v="10"/>
    <s v="شبكات"/>
    <x v="2"/>
    <x v="5"/>
    <n v="6"/>
    <n v="2200"/>
    <n v="0.03"/>
    <s v="محفظة إلكترونية"/>
    <x v="1"/>
    <s v="عميل 116"/>
    <n v="13200"/>
    <n v="12804"/>
  </r>
  <r>
    <n v="10705"/>
    <s v="علي"/>
    <d v="2026-05-22T00:00:00"/>
    <x v="9"/>
    <s v="إكسسوارات"/>
    <x v="3"/>
    <x v="17"/>
    <n v="9"/>
    <n v="1800"/>
    <n v="0.15"/>
    <s v="كاش"/>
    <x v="0"/>
    <s v="عميل 191"/>
    <n v="16200"/>
    <n v="13770"/>
  </r>
  <r>
    <n v="10706"/>
    <s v="محمد"/>
    <d v="2026-08-29T00:00:00"/>
    <x v="9"/>
    <s v="إكسسوارات"/>
    <x v="4"/>
    <x v="20"/>
    <n v="9"/>
    <n v="1800"/>
    <n v="0.1"/>
    <s v="تحويل بنكي"/>
    <x v="3"/>
    <s v="عميل 189"/>
    <n v="16200"/>
    <n v="14580"/>
  </r>
  <r>
    <n v="10707"/>
    <s v="محمد"/>
    <d v="2026-07-20T00:00:00"/>
    <x v="4"/>
    <s v="شبكات"/>
    <x v="0"/>
    <x v="16"/>
    <n v="8"/>
    <n v="150"/>
    <n v="0"/>
    <s v="فيزا"/>
    <x v="2"/>
    <s v="عميل 40"/>
    <n v="1200"/>
    <n v="1200"/>
  </r>
  <r>
    <n v="10708"/>
    <s v="يوسف"/>
    <d v="2026-09-12T00:00:00"/>
    <x v="13"/>
    <s v="أجهزة كمبيوتر"/>
    <x v="5"/>
    <x v="21"/>
    <n v="2"/>
    <n v="28000"/>
    <n v="0.15"/>
    <s v="فيزا"/>
    <x v="1"/>
    <s v="عميل 267"/>
    <n v="56000"/>
    <n v="47600"/>
  </r>
  <r>
    <n v="10709"/>
    <s v="مصطفى"/>
    <d v="2026-03-09T00:00:00"/>
    <x v="0"/>
    <s v="تخزين"/>
    <x v="1"/>
    <x v="6"/>
    <n v="7"/>
    <n v="650"/>
    <n v="0.15"/>
    <s v="محفظة إلكترونية"/>
    <x v="2"/>
    <s v="عميل 216"/>
    <n v="4550"/>
    <n v="3867.5"/>
  </r>
  <r>
    <n v="10710"/>
    <s v="أحمد"/>
    <d v="2026-04-29T00:00:00"/>
    <x v="6"/>
    <s v="شاشات"/>
    <x v="1"/>
    <x v="6"/>
    <n v="4"/>
    <n v="9000"/>
    <n v="0"/>
    <s v="تحويل بنكي"/>
    <x v="3"/>
    <s v="عميل 297"/>
    <n v="36000"/>
    <n v="36000"/>
  </r>
  <r>
    <n v="10711"/>
    <s v="مصطفى"/>
    <d v="2026-10-08T00:00:00"/>
    <x v="9"/>
    <s v="إكسسوارات"/>
    <x v="3"/>
    <x v="17"/>
    <n v="10"/>
    <n v="1800"/>
    <n v="0.15"/>
    <s v="محفظة إلكترونية"/>
    <x v="3"/>
    <s v="عميل 156"/>
    <n v="18000"/>
    <n v="15300"/>
  </r>
  <r>
    <n v="10712"/>
    <s v="مؤمن"/>
    <d v="2026-09-05T00:00:00"/>
    <x v="12"/>
    <s v="تخزين"/>
    <x v="5"/>
    <x v="21"/>
    <n v="3"/>
    <n v="5200"/>
    <n v="0.05"/>
    <s v="تحويل بنكي"/>
    <x v="2"/>
    <s v="عميل 25"/>
    <n v="15600"/>
    <n v="14820"/>
  </r>
  <r>
    <n v="10713"/>
    <s v="حسن"/>
    <d v="2026-03-24T00:00:00"/>
    <x v="3"/>
    <s v="أجهزة كمبيوتر"/>
    <x v="3"/>
    <x v="17"/>
    <n v="8"/>
    <n v="32000"/>
    <n v="0.03"/>
    <s v="تحويل بنكي"/>
    <x v="1"/>
    <s v="عميل 90"/>
    <n v="256000"/>
    <n v="248320"/>
  </r>
  <r>
    <n v="10714"/>
    <s v="أحمد"/>
    <d v="2026-06-12T00:00:00"/>
    <x v="8"/>
    <s v="إكسسوارات"/>
    <x v="5"/>
    <x v="25"/>
    <n v="4"/>
    <n v="1400"/>
    <n v="0"/>
    <s v="فيزا"/>
    <x v="3"/>
    <s v="عميل 134"/>
    <n v="5600"/>
    <n v="5600"/>
  </r>
  <r>
    <n v="10715"/>
    <s v="أحمد"/>
    <d v="2026-12-07T00:00:00"/>
    <x v="9"/>
    <s v="إكسسوارات"/>
    <x v="5"/>
    <x v="25"/>
    <n v="9"/>
    <n v="1800"/>
    <n v="0.15"/>
    <s v="تحويل بنكي"/>
    <x v="2"/>
    <s v="عميل 76"/>
    <n v="16200"/>
    <n v="13770"/>
  </r>
  <r>
    <n v="10716"/>
    <s v="عمر"/>
    <d v="2026-03-04T00:00:00"/>
    <x v="9"/>
    <s v="إكسسوارات"/>
    <x v="4"/>
    <x v="11"/>
    <n v="3"/>
    <n v="1800"/>
    <n v="0.1"/>
    <s v="كاش"/>
    <x v="3"/>
    <s v="عميل 256"/>
    <n v="5400"/>
    <n v="4860"/>
  </r>
  <r>
    <n v="10717"/>
    <s v="أحمد"/>
    <d v="2026-10-07T00:00:00"/>
    <x v="4"/>
    <s v="شبكات"/>
    <x v="5"/>
    <x v="8"/>
    <n v="6"/>
    <n v="150"/>
    <n v="0.03"/>
    <s v="تحويل بنكي"/>
    <x v="2"/>
    <s v="عميل 243"/>
    <n v="900"/>
    <n v="873"/>
  </r>
  <r>
    <n v="10718"/>
    <s v="كريم"/>
    <d v="2026-06-23T00:00:00"/>
    <x v="11"/>
    <s v="طابعات"/>
    <x v="7"/>
    <x v="19"/>
    <n v="3"/>
    <n v="6500"/>
    <n v="0.1"/>
    <s v="كاش"/>
    <x v="3"/>
    <s v="عميل 21"/>
    <n v="19500"/>
    <n v="17550"/>
  </r>
  <r>
    <n v="10719"/>
    <s v="حسن"/>
    <d v="2026-04-23T00:00:00"/>
    <x v="3"/>
    <s v="أجهزة كمبيوتر"/>
    <x v="0"/>
    <x v="13"/>
    <n v="1"/>
    <n v="32000"/>
    <n v="7.0000000000000007E-2"/>
    <s v="محفظة إلكترونية"/>
    <x v="2"/>
    <s v="عميل 48"/>
    <n v="32000"/>
    <n v="29759.999999999996"/>
  </r>
  <r>
    <n v="10720"/>
    <s v="مؤمن"/>
    <d v="2026-05-23T00:00:00"/>
    <x v="9"/>
    <s v="إكسسوارات"/>
    <x v="1"/>
    <x v="10"/>
    <n v="10"/>
    <n v="1800"/>
    <n v="0.1"/>
    <s v="فيزا"/>
    <x v="0"/>
    <s v="عميل 43"/>
    <n v="18000"/>
    <n v="16200"/>
  </r>
  <r>
    <n v="10721"/>
    <s v="علي"/>
    <d v="2026-04-10T00:00:00"/>
    <x v="7"/>
    <s v="تخزين"/>
    <x v="4"/>
    <x v="11"/>
    <n v="2"/>
    <n v="3200"/>
    <n v="0.1"/>
    <s v="محفظة إلكترونية"/>
    <x v="2"/>
    <s v="عميل 262"/>
    <n v="6400"/>
    <n v="5760"/>
  </r>
  <r>
    <n v="10722"/>
    <s v="علي"/>
    <d v="2026-07-09T00:00:00"/>
    <x v="1"/>
    <s v="أجهزة كمبيوتر"/>
    <x v="3"/>
    <x v="17"/>
    <n v="3"/>
    <n v="25000"/>
    <n v="0.15"/>
    <s v="محفظة إلكترونية"/>
    <x v="2"/>
    <s v="عميل 7"/>
    <n v="75000"/>
    <n v="63750"/>
  </r>
  <r>
    <n v="10723"/>
    <s v="مصطفى"/>
    <d v="2026-02-14T00:00:00"/>
    <x v="14"/>
    <s v="إكسسوارات"/>
    <x v="3"/>
    <x v="17"/>
    <n v="5"/>
    <n v="450"/>
    <n v="7.0000000000000007E-2"/>
    <s v="فيزا"/>
    <x v="3"/>
    <s v="عميل 213"/>
    <n v="2250"/>
    <n v="2092.5"/>
  </r>
  <r>
    <n v="10724"/>
    <s v="علي"/>
    <d v="2026-08-01T00:00:00"/>
    <x v="4"/>
    <s v="شبكات"/>
    <x v="4"/>
    <x v="20"/>
    <n v="3"/>
    <n v="150"/>
    <n v="0.15"/>
    <s v="فيزا"/>
    <x v="0"/>
    <s v="عميل 74"/>
    <n v="450"/>
    <n v="382.5"/>
  </r>
  <r>
    <n v="10725"/>
    <s v="محمد"/>
    <d v="2026-10-30T00:00:00"/>
    <x v="5"/>
    <s v="إكسسوارات"/>
    <x v="7"/>
    <x v="15"/>
    <n v="9"/>
    <n v="1200"/>
    <n v="0.05"/>
    <s v="محفظة إلكترونية"/>
    <x v="0"/>
    <s v="عميل 4"/>
    <n v="10800"/>
    <n v="10260"/>
  </r>
  <r>
    <n v="10726"/>
    <s v="كريم"/>
    <d v="2026-12-30T00:00:00"/>
    <x v="2"/>
    <s v="شاشات"/>
    <x v="7"/>
    <x v="15"/>
    <n v="3"/>
    <n v="7500"/>
    <n v="0.1"/>
    <s v="فيزا"/>
    <x v="1"/>
    <s v="عميل 96"/>
    <n v="22500"/>
    <n v="20250"/>
  </r>
  <r>
    <n v="10727"/>
    <s v="أحمد"/>
    <d v="2026-06-04T00:00:00"/>
    <x v="8"/>
    <s v="إكسسوارات"/>
    <x v="6"/>
    <x v="14"/>
    <n v="9"/>
    <n v="1400"/>
    <n v="7.0000000000000007E-2"/>
    <s v="تحويل بنكي"/>
    <x v="3"/>
    <s v="عميل 287"/>
    <n v="12600"/>
    <n v="11718"/>
  </r>
  <r>
    <n v="10728"/>
    <s v="يوسف"/>
    <d v="2026-05-15T00:00:00"/>
    <x v="10"/>
    <s v="شبكات"/>
    <x v="4"/>
    <x v="7"/>
    <n v="1"/>
    <n v="2200"/>
    <n v="0"/>
    <s v="تحويل بنكي"/>
    <x v="3"/>
    <s v="عميل 64"/>
    <n v="2200"/>
    <n v="2200"/>
  </r>
  <r>
    <n v="10729"/>
    <s v="مؤمن"/>
    <d v="2026-01-15T00:00:00"/>
    <x v="0"/>
    <s v="تخزين"/>
    <x v="7"/>
    <x v="15"/>
    <n v="3"/>
    <n v="650"/>
    <n v="7.0000000000000007E-2"/>
    <s v="كاش"/>
    <x v="2"/>
    <s v="عميل 253"/>
    <n v="1950"/>
    <n v="1813.4999999999998"/>
  </r>
  <r>
    <n v="10730"/>
    <s v="علي"/>
    <d v="2026-05-13T00:00:00"/>
    <x v="13"/>
    <s v="أجهزة كمبيوتر"/>
    <x v="3"/>
    <x v="24"/>
    <n v="8"/>
    <n v="28000"/>
    <n v="0.1"/>
    <s v="محفظة إلكترونية"/>
    <x v="0"/>
    <s v="عميل 192"/>
    <n v="224000"/>
    <n v="201600"/>
  </r>
  <r>
    <n v="10731"/>
    <s v="أحمد"/>
    <d v="2026-03-16T00:00:00"/>
    <x v="7"/>
    <s v="تخزين"/>
    <x v="1"/>
    <x v="6"/>
    <n v="3"/>
    <n v="3200"/>
    <n v="0.1"/>
    <s v="تحويل بنكي"/>
    <x v="3"/>
    <s v="عميل 70"/>
    <n v="9600"/>
    <n v="8640"/>
  </r>
  <r>
    <n v="10732"/>
    <s v="علي"/>
    <d v="2026-11-22T00:00:00"/>
    <x v="9"/>
    <s v="إكسسوارات"/>
    <x v="5"/>
    <x v="9"/>
    <n v="5"/>
    <n v="1800"/>
    <n v="0.05"/>
    <s v="تحويل بنكي"/>
    <x v="0"/>
    <s v="عميل 149"/>
    <n v="9000"/>
    <n v="8550"/>
  </r>
  <r>
    <n v="10733"/>
    <s v="حسن"/>
    <d v="2026-03-27T00:00:00"/>
    <x v="14"/>
    <s v="إكسسوارات"/>
    <x v="0"/>
    <x v="16"/>
    <n v="3"/>
    <n v="450"/>
    <n v="0"/>
    <s v="تحويل بنكي"/>
    <x v="2"/>
    <s v="عميل 155"/>
    <n v="1350"/>
    <n v="1350"/>
  </r>
  <r>
    <n v="10734"/>
    <s v="محمود"/>
    <d v="2026-03-15T00:00:00"/>
    <x v="14"/>
    <s v="إكسسوارات"/>
    <x v="3"/>
    <x v="4"/>
    <n v="9"/>
    <n v="450"/>
    <n v="0.1"/>
    <s v="كاش"/>
    <x v="1"/>
    <s v="عميل 266"/>
    <n v="4050"/>
    <n v="3645"/>
  </r>
  <r>
    <n v="10735"/>
    <s v="يوسف"/>
    <d v="2026-02-22T00:00:00"/>
    <x v="14"/>
    <s v="إكسسوارات"/>
    <x v="3"/>
    <x v="17"/>
    <n v="7"/>
    <n v="450"/>
    <n v="0.05"/>
    <s v="فيزا"/>
    <x v="1"/>
    <s v="عميل 258"/>
    <n v="3150"/>
    <n v="2992.5"/>
  </r>
  <r>
    <n v="10736"/>
    <s v="مصطفى"/>
    <d v="2026-09-30T00:00:00"/>
    <x v="5"/>
    <s v="إكسسوارات"/>
    <x v="2"/>
    <x v="12"/>
    <n v="10"/>
    <n v="1200"/>
    <n v="0.15"/>
    <s v="كاش"/>
    <x v="3"/>
    <s v="عميل 236"/>
    <n v="12000"/>
    <n v="10200"/>
  </r>
  <r>
    <n v="10737"/>
    <s v="كريم"/>
    <d v="2026-06-28T00:00:00"/>
    <x v="11"/>
    <s v="طابعات"/>
    <x v="0"/>
    <x v="0"/>
    <n v="3"/>
    <n v="6500"/>
    <n v="0"/>
    <s v="تحويل بنكي"/>
    <x v="2"/>
    <s v="عميل 72"/>
    <n v="19500"/>
    <n v="19500"/>
  </r>
  <r>
    <n v="10738"/>
    <s v="يوسف"/>
    <d v="2026-12-30T00:00:00"/>
    <x v="8"/>
    <s v="إكسسوارات"/>
    <x v="4"/>
    <x v="11"/>
    <n v="9"/>
    <n v="1400"/>
    <n v="0.05"/>
    <s v="تحويل بنكي"/>
    <x v="0"/>
    <s v="عميل 61"/>
    <n v="12600"/>
    <n v="11970"/>
  </r>
  <r>
    <n v="10739"/>
    <s v="يوسف"/>
    <d v="2026-04-18T00:00:00"/>
    <x v="5"/>
    <s v="إكسسوارات"/>
    <x v="5"/>
    <x v="25"/>
    <n v="4"/>
    <n v="1200"/>
    <n v="0.05"/>
    <s v="فيزا"/>
    <x v="0"/>
    <s v="عميل 218"/>
    <n v="4800"/>
    <n v="4560"/>
  </r>
  <r>
    <n v="10740"/>
    <s v="علي"/>
    <d v="2026-01-22T00:00:00"/>
    <x v="10"/>
    <s v="شبكات"/>
    <x v="0"/>
    <x v="0"/>
    <n v="1"/>
    <n v="2200"/>
    <n v="7.0000000000000007E-2"/>
    <s v="فيزا"/>
    <x v="0"/>
    <s v="عميل 17"/>
    <n v="2200"/>
    <n v="2045.9999999999998"/>
  </r>
  <r>
    <n v="10741"/>
    <s v="أحمد"/>
    <d v="2026-02-03T00:00:00"/>
    <x v="4"/>
    <s v="شبكات"/>
    <x v="1"/>
    <x v="3"/>
    <n v="2"/>
    <n v="150"/>
    <n v="0.05"/>
    <s v="تحويل بنكي"/>
    <x v="0"/>
    <s v="عميل 50"/>
    <n v="300"/>
    <n v="285"/>
  </r>
  <r>
    <n v="10742"/>
    <s v="يوسف"/>
    <d v="2026-12-10T00:00:00"/>
    <x v="4"/>
    <s v="شبكات"/>
    <x v="0"/>
    <x v="16"/>
    <n v="10"/>
    <n v="150"/>
    <n v="0.03"/>
    <s v="تحويل بنكي"/>
    <x v="0"/>
    <s v="عميل 47"/>
    <n v="1500"/>
    <n v="1455"/>
  </r>
  <r>
    <n v="10743"/>
    <s v="يوسف"/>
    <d v="2026-09-14T00:00:00"/>
    <x v="3"/>
    <s v="أجهزة كمبيوتر"/>
    <x v="7"/>
    <x v="19"/>
    <n v="6"/>
    <n v="32000"/>
    <n v="0.05"/>
    <s v="فيزا"/>
    <x v="0"/>
    <s v="عميل 51"/>
    <n v="192000"/>
    <n v="182400"/>
  </r>
  <r>
    <n v="10744"/>
    <s v="يوسف"/>
    <d v="2026-10-03T00:00:00"/>
    <x v="8"/>
    <s v="إكسسوارات"/>
    <x v="1"/>
    <x v="10"/>
    <n v="4"/>
    <n v="1400"/>
    <n v="0.05"/>
    <s v="كاش"/>
    <x v="0"/>
    <s v="عميل 110"/>
    <n v="5600"/>
    <n v="5320"/>
  </r>
  <r>
    <n v="10745"/>
    <s v="كريم"/>
    <d v="2026-12-11T00:00:00"/>
    <x v="11"/>
    <s v="طابعات"/>
    <x v="4"/>
    <x v="20"/>
    <n v="10"/>
    <n v="6500"/>
    <n v="0.03"/>
    <s v="كاش"/>
    <x v="1"/>
    <s v="عميل 182"/>
    <n v="65000"/>
    <n v="63050"/>
  </r>
  <r>
    <n v="10746"/>
    <s v="علي"/>
    <d v="2026-02-27T00:00:00"/>
    <x v="2"/>
    <s v="شاشات"/>
    <x v="6"/>
    <x v="23"/>
    <n v="9"/>
    <n v="7500"/>
    <n v="0.03"/>
    <s v="تحويل بنكي"/>
    <x v="0"/>
    <s v="عميل 239"/>
    <n v="67500"/>
    <n v="65475"/>
  </r>
  <r>
    <n v="10747"/>
    <s v="عمر"/>
    <d v="2026-10-13T00:00:00"/>
    <x v="13"/>
    <s v="أجهزة كمبيوتر"/>
    <x v="5"/>
    <x v="8"/>
    <n v="6"/>
    <n v="28000"/>
    <n v="0.15"/>
    <s v="كاش"/>
    <x v="0"/>
    <s v="عميل 168"/>
    <n v="168000"/>
    <n v="142800"/>
  </r>
  <r>
    <n v="10748"/>
    <s v="حسن"/>
    <d v="2026-06-09T00:00:00"/>
    <x v="6"/>
    <s v="شاشات"/>
    <x v="0"/>
    <x v="26"/>
    <n v="5"/>
    <n v="9000"/>
    <n v="7.0000000000000007E-2"/>
    <s v="محفظة إلكترونية"/>
    <x v="1"/>
    <s v="عميل 284"/>
    <n v="45000"/>
    <n v="41850"/>
  </r>
  <r>
    <n v="10749"/>
    <s v="كريم"/>
    <d v="2026-12-14T00:00:00"/>
    <x v="2"/>
    <s v="شاشات"/>
    <x v="7"/>
    <x v="15"/>
    <n v="4"/>
    <n v="7500"/>
    <n v="0"/>
    <s v="تحويل بنكي"/>
    <x v="1"/>
    <s v="عميل 7"/>
    <n v="30000"/>
    <n v="30000"/>
  </r>
  <r>
    <n v="10750"/>
    <s v="كريم"/>
    <d v="2026-09-25T00:00:00"/>
    <x v="0"/>
    <s v="تخزين"/>
    <x v="4"/>
    <x v="11"/>
    <n v="2"/>
    <n v="650"/>
    <n v="7.0000000000000007E-2"/>
    <s v="كاش"/>
    <x v="0"/>
    <s v="عميل 74"/>
    <n v="1300"/>
    <n v="1209"/>
  </r>
  <r>
    <n v="10751"/>
    <s v="يوسف"/>
    <d v="2026-02-03T00:00:00"/>
    <x v="2"/>
    <s v="شاشات"/>
    <x v="6"/>
    <x v="22"/>
    <n v="10"/>
    <n v="7500"/>
    <n v="0"/>
    <s v="تحويل بنكي"/>
    <x v="1"/>
    <s v="عميل 174"/>
    <n v="75000"/>
    <n v="75000"/>
  </r>
  <r>
    <n v="10752"/>
    <s v="كريم"/>
    <d v="2026-05-23T00:00:00"/>
    <x v="5"/>
    <s v="إكسسوارات"/>
    <x v="6"/>
    <x v="23"/>
    <n v="4"/>
    <n v="1200"/>
    <n v="7.0000000000000007E-2"/>
    <s v="تحويل بنكي"/>
    <x v="3"/>
    <s v="عميل 183"/>
    <n v="4800"/>
    <n v="4464"/>
  </r>
  <r>
    <n v="10753"/>
    <s v="يوسف"/>
    <d v="2026-08-21T00:00:00"/>
    <x v="6"/>
    <s v="شاشات"/>
    <x v="6"/>
    <x v="14"/>
    <n v="9"/>
    <n v="9000"/>
    <n v="0.05"/>
    <s v="كاش"/>
    <x v="0"/>
    <s v="عميل 129"/>
    <n v="81000"/>
    <n v="76950"/>
  </r>
  <r>
    <n v="10754"/>
    <s v="محمد"/>
    <d v="2026-01-28T00:00:00"/>
    <x v="6"/>
    <s v="شاشات"/>
    <x v="4"/>
    <x v="7"/>
    <n v="3"/>
    <n v="9000"/>
    <n v="0"/>
    <s v="كاش"/>
    <x v="3"/>
    <s v="عميل 14"/>
    <n v="27000"/>
    <n v="27000"/>
  </r>
  <r>
    <n v="10755"/>
    <s v="عمر"/>
    <d v="2026-11-15T00:00:00"/>
    <x v="3"/>
    <s v="أجهزة كمبيوتر"/>
    <x v="6"/>
    <x v="22"/>
    <n v="6"/>
    <n v="32000"/>
    <n v="0.03"/>
    <s v="كاش"/>
    <x v="0"/>
    <s v="عميل 267"/>
    <n v="192000"/>
    <n v="186240"/>
  </r>
  <r>
    <n v="10756"/>
    <s v="كريم"/>
    <d v="2026-09-09T00:00:00"/>
    <x v="4"/>
    <s v="شبكات"/>
    <x v="4"/>
    <x v="20"/>
    <n v="4"/>
    <n v="150"/>
    <n v="0.05"/>
    <s v="تحويل بنكي"/>
    <x v="2"/>
    <s v="عميل 277"/>
    <n v="600"/>
    <n v="570"/>
  </r>
  <r>
    <n v="10757"/>
    <s v="علي"/>
    <d v="2026-08-19T00:00:00"/>
    <x v="7"/>
    <s v="تخزين"/>
    <x v="1"/>
    <x v="1"/>
    <n v="7"/>
    <n v="3200"/>
    <n v="0"/>
    <s v="تحويل بنكي"/>
    <x v="3"/>
    <s v="عميل 227"/>
    <n v="22400"/>
    <n v="22400"/>
  </r>
  <r>
    <n v="10758"/>
    <s v="عمر"/>
    <d v="2026-12-28T00:00:00"/>
    <x v="6"/>
    <s v="شاشات"/>
    <x v="1"/>
    <x v="1"/>
    <n v="3"/>
    <n v="9000"/>
    <n v="0.1"/>
    <s v="فيزا"/>
    <x v="3"/>
    <s v="عميل 221"/>
    <n v="27000"/>
    <n v="24300"/>
  </r>
  <r>
    <n v="10759"/>
    <s v="محمد"/>
    <d v="2026-10-19T00:00:00"/>
    <x v="3"/>
    <s v="أجهزة كمبيوتر"/>
    <x v="7"/>
    <x v="19"/>
    <n v="7"/>
    <n v="32000"/>
    <n v="7.0000000000000007E-2"/>
    <s v="محفظة إلكترونية"/>
    <x v="3"/>
    <s v="عميل 244"/>
    <n v="224000"/>
    <n v="208320"/>
  </r>
  <r>
    <n v="10760"/>
    <s v="كريم"/>
    <d v="2026-10-30T00:00:00"/>
    <x v="7"/>
    <s v="تخزين"/>
    <x v="5"/>
    <x v="9"/>
    <n v="7"/>
    <n v="3200"/>
    <n v="0.05"/>
    <s v="محفظة إلكترونية"/>
    <x v="2"/>
    <s v="عميل 146"/>
    <n v="22400"/>
    <n v="21280"/>
  </r>
  <r>
    <n v="10761"/>
    <s v="يوسف"/>
    <d v="2026-07-07T00:00:00"/>
    <x v="9"/>
    <s v="إكسسوارات"/>
    <x v="1"/>
    <x v="1"/>
    <n v="10"/>
    <n v="1800"/>
    <n v="0"/>
    <s v="تحويل بنكي"/>
    <x v="0"/>
    <s v="عميل 175"/>
    <n v="18000"/>
    <n v="18000"/>
  </r>
  <r>
    <n v="10762"/>
    <s v="علي"/>
    <d v="2026-06-29T00:00:00"/>
    <x v="2"/>
    <s v="شاشات"/>
    <x v="0"/>
    <x v="26"/>
    <n v="6"/>
    <n v="7500"/>
    <n v="0.05"/>
    <s v="كاش"/>
    <x v="1"/>
    <s v="عميل 127"/>
    <n v="45000"/>
    <n v="42750"/>
  </r>
  <r>
    <n v="10763"/>
    <s v="محمد"/>
    <d v="2026-06-06T00:00:00"/>
    <x v="5"/>
    <s v="إكسسوارات"/>
    <x v="7"/>
    <x v="19"/>
    <n v="2"/>
    <n v="1200"/>
    <n v="0.15"/>
    <s v="كاش"/>
    <x v="2"/>
    <s v="عميل 87"/>
    <n v="2400"/>
    <n v="2040"/>
  </r>
  <r>
    <n v="10764"/>
    <s v="علي"/>
    <d v="2026-10-18T00:00:00"/>
    <x v="1"/>
    <s v="أجهزة كمبيوتر"/>
    <x v="3"/>
    <x v="4"/>
    <n v="8"/>
    <n v="25000"/>
    <n v="0.15"/>
    <s v="محفظة إلكترونية"/>
    <x v="2"/>
    <s v="عميل 11"/>
    <n v="200000"/>
    <n v="170000"/>
  </r>
  <r>
    <n v="10765"/>
    <s v="علي"/>
    <d v="2026-10-20T00:00:00"/>
    <x v="10"/>
    <s v="شبكات"/>
    <x v="4"/>
    <x v="11"/>
    <n v="1"/>
    <n v="2200"/>
    <n v="0.05"/>
    <s v="محفظة إلكترونية"/>
    <x v="2"/>
    <s v="عميل 294"/>
    <n v="2200"/>
    <n v="2090"/>
  </r>
  <r>
    <n v="10766"/>
    <s v="كريم"/>
    <d v="2026-09-15T00:00:00"/>
    <x v="13"/>
    <s v="أجهزة كمبيوتر"/>
    <x v="4"/>
    <x v="7"/>
    <n v="4"/>
    <n v="28000"/>
    <n v="0.05"/>
    <s v="تحويل بنكي"/>
    <x v="1"/>
    <s v="عميل 154"/>
    <n v="112000"/>
    <n v="106400"/>
  </r>
  <r>
    <n v="10767"/>
    <s v="محمد"/>
    <d v="2026-10-02T00:00:00"/>
    <x v="9"/>
    <s v="إكسسوارات"/>
    <x v="6"/>
    <x v="23"/>
    <n v="8"/>
    <n v="1800"/>
    <n v="0.15"/>
    <s v="فيزا"/>
    <x v="2"/>
    <s v="عميل 136"/>
    <n v="14400"/>
    <n v="12240"/>
  </r>
  <r>
    <n v="10768"/>
    <s v="حسن"/>
    <d v="2026-02-17T00:00:00"/>
    <x v="1"/>
    <s v="أجهزة كمبيوتر"/>
    <x v="7"/>
    <x v="19"/>
    <n v="7"/>
    <n v="25000"/>
    <n v="0.03"/>
    <s v="كاش"/>
    <x v="2"/>
    <s v="عميل 140"/>
    <n v="175000"/>
    <n v="169750"/>
  </r>
  <r>
    <n v="10769"/>
    <s v="محمد"/>
    <d v="2026-11-30T00:00:00"/>
    <x v="13"/>
    <s v="أجهزة كمبيوتر"/>
    <x v="4"/>
    <x v="20"/>
    <n v="4"/>
    <n v="28000"/>
    <n v="0.05"/>
    <s v="تحويل بنكي"/>
    <x v="2"/>
    <s v="عميل 222"/>
    <n v="112000"/>
    <n v="106400"/>
  </r>
  <r>
    <n v="10770"/>
    <s v="عمر"/>
    <d v="2026-11-16T00:00:00"/>
    <x v="0"/>
    <s v="تخزين"/>
    <x v="3"/>
    <x v="4"/>
    <n v="7"/>
    <n v="650"/>
    <n v="7.0000000000000007E-2"/>
    <s v="محفظة إلكترونية"/>
    <x v="1"/>
    <s v="عميل 10"/>
    <n v="4550"/>
    <n v="4231.5"/>
  </r>
  <r>
    <n v="10771"/>
    <s v="كريم"/>
    <d v="2026-05-18T00:00:00"/>
    <x v="0"/>
    <s v="تخزين"/>
    <x v="5"/>
    <x v="8"/>
    <n v="4"/>
    <n v="650"/>
    <n v="0.15"/>
    <s v="محفظة إلكترونية"/>
    <x v="0"/>
    <s v="عميل 268"/>
    <n v="2600"/>
    <n v="2210"/>
  </r>
  <r>
    <n v="10772"/>
    <s v="يوسف"/>
    <d v="2026-12-17T00:00:00"/>
    <x v="5"/>
    <s v="إكسسوارات"/>
    <x v="3"/>
    <x v="17"/>
    <n v="3"/>
    <n v="1200"/>
    <n v="0.03"/>
    <s v="تحويل بنكي"/>
    <x v="3"/>
    <s v="عميل 211"/>
    <n v="3600"/>
    <n v="3492"/>
  </r>
  <r>
    <n v="10773"/>
    <s v="عمر"/>
    <d v="2026-11-27T00:00:00"/>
    <x v="9"/>
    <s v="إكسسوارات"/>
    <x v="0"/>
    <x v="16"/>
    <n v="7"/>
    <n v="1800"/>
    <n v="0.05"/>
    <s v="فيزا"/>
    <x v="2"/>
    <s v="عميل 121"/>
    <n v="12600"/>
    <n v="11970"/>
  </r>
  <r>
    <n v="10774"/>
    <s v="أحمد"/>
    <d v="2026-05-06T00:00:00"/>
    <x v="2"/>
    <s v="شاشات"/>
    <x v="2"/>
    <x v="5"/>
    <n v="3"/>
    <n v="7500"/>
    <n v="0.03"/>
    <s v="تحويل بنكي"/>
    <x v="3"/>
    <s v="عميل 249"/>
    <n v="22500"/>
    <n v="21825"/>
  </r>
  <r>
    <n v="10775"/>
    <s v="يوسف"/>
    <d v="2026-05-20T00:00:00"/>
    <x v="7"/>
    <s v="تخزين"/>
    <x v="6"/>
    <x v="14"/>
    <n v="1"/>
    <n v="3200"/>
    <n v="0.03"/>
    <s v="فيزا"/>
    <x v="0"/>
    <s v="عميل 133"/>
    <n v="3200"/>
    <n v="3104"/>
  </r>
  <r>
    <n v="10776"/>
    <s v="أحمد"/>
    <d v="2026-09-06T00:00:00"/>
    <x v="4"/>
    <s v="شبكات"/>
    <x v="7"/>
    <x v="19"/>
    <n v="9"/>
    <n v="150"/>
    <n v="0.03"/>
    <s v="كاش"/>
    <x v="0"/>
    <s v="عميل 43"/>
    <n v="1350"/>
    <n v="1309.5"/>
  </r>
  <r>
    <n v="10777"/>
    <s v="محمد"/>
    <d v="2026-07-23T00:00:00"/>
    <x v="9"/>
    <s v="إكسسوارات"/>
    <x v="7"/>
    <x v="18"/>
    <n v="7"/>
    <n v="1800"/>
    <n v="0.05"/>
    <s v="فيزا"/>
    <x v="1"/>
    <s v="عميل 58"/>
    <n v="12600"/>
    <n v="11970"/>
  </r>
  <r>
    <n v="10778"/>
    <s v="مؤمن"/>
    <d v="2026-11-04T00:00:00"/>
    <x v="12"/>
    <s v="تخزين"/>
    <x v="0"/>
    <x v="13"/>
    <n v="8"/>
    <n v="5200"/>
    <n v="0"/>
    <s v="كاش"/>
    <x v="2"/>
    <s v="عميل 169"/>
    <n v="41600"/>
    <n v="41600"/>
  </r>
  <r>
    <n v="10779"/>
    <s v="مؤمن"/>
    <d v="2026-03-15T00:00:00"/>
    <x v="8"/>
    <s v="إكسسوارات"/>
    <x v="6"/>
    <x v="22"/>
    <n v="4"/>
    <n v="1400"/>
    <n v="7.0000000000000007E-2"/>
    <s v="كاش"/>
    <x v="1"/>
    <s v="عميل 110"/>
    <n v="5600"/>
    <n v="5208"/>
  </r>
  <r>
    <n v="10780"/>
    <s v="أحمد"/>
    <d v="2026-09-09T00:00:00"/>
    <x v="14"/>
    <s v="إكسسوارات"/>
    <x v="4"/>
    <x v="20"/>
    <n v="5"/>
    <n v="450"/>
    <n v="0.1"/>
    <s v="تحويل بنكي"/>
    <x v="0"/>
    <s v="عميل 163"/>
    <n v="2250"/>
    <n v="2025"/>
  </r>
  <r>
    <n v="10781"/>
    <s v="يوسف"/>
    <d v="2026-07-05T00:00:00"/>
    <x v="7"/>
    <s v="تخزين"/>
    <x v="6"/>
    <x v="14"/>
    <n v="4"/>
    <n v="3200"/>
    <n v="0.05"/>
    <s v="محفظة إلكترونية"/>
    <x v="2"/>
    <s v="عميل 158"/>
    <n v="12800"/>
    <n v="12160"/>
  </r>
  <r>
    <n v="10782"/>
    <s v="مصطفى"/>
    <d v="2026-07-16T00:00:00"/>
    <x v="1"/>
    <s v="أجهزة كمبيوتر"/>
    <x v="1"/>
    <x v="1"/>
    <n v="4"/>
    <n v="25000"/>
    <n v="0.05"/>
    <s v="تحويل بنكي"/>
    <x v="2"/>
    <s v="عميل 63"/>
    <n v="100000"/>
    <n v="95000"/>
  </r>
  <r>
    <n v="10783"/>
    <s v="علي"/>
    <d v="2026-05-11T00:00:00"/>
    <x v="7"/>
    <s v="تخزين"/>
    <x v="2"/>
    <x v="2"/>
    <n v="7"/>
    <n v="3200"/>
    <n v="0"/>
    <s v="تحويل بنكي"/>
    <x v="0"/>
    <s v="عميل 121"/>
    <n v="22400"/>
    <n v="22400"/>
  </r>
  <r>
    <n v="10784"/>
    <s v="محمود"/>
    <d v="2026-11-26T00:00:00"/>
    <x v="14"/>
    <s v="إكسسوارات"/>
    <x v="2"/>
    <x v="5"/>
    <n v="8"/>
    <n v="450"/>
    <n v="0.15"/>
    <s v="محفظة إلكترونية"/>
    <x v="0"/>
    <s v="عميل 141"/>
    <n v="3600"/>
    <n v="3060"/>
  </r>
  <r>
    <n v="10785"/>
    <s v="علي"/>
    <d v="2026-06-20T00:00:00"/>
    <x v="8"/>
    <s v="إكسسوارات"/>
    <x v="0"/>
    <x v="26"/>
    <n v="8"/>
    <n v="1400"/>
    <n v="0.15"/>
    <s v="محفظة إلكترونية"/>
    <x v="0"/>
    <s v="عميل 83"/>
    <n v="11200"/>
    <n v="9520"/>
  </r>
  <r>
    <n v="10786"/>
    <s v="علي"/>
    <d v="2026-11-05T00:00:00"/>
    <x v="10"/>
    <s v="شبكات"/>
    <x v="7"/>
    <x v="19"/>
    <n v="2"/>
    <n v="2200"/>
    <n v="0.05"/>
    <s v="تحويل بنكي"/>
    <x v="3"/>
    <s v="عميل 15"/>
    <n v="4400"/>
    <n v="4180"/>
  </r>
  <r>
    <n v="10787"/>
    <s v="يوسف"/>
    <d v="2026-01-02T00:00:00"/>
    <x v="4"/>
    <s v="شبكات"/>
    <x v="1"/>
    <x v="10"/>
    <n v="8"/>
    <n v="150"/>
    <n v="0.15"/>
    <s v="محفظة إلكترونية"/>
    <x v="1"/>
    <s v="عميل 157"/>
    <n v="1200"/>
    <n v="1020"/>
  </r>
  <r>
    <n v="10788"/>
    <s v="مصطفى"/>
    <d v="2026-11-29T00:00:00"/>
    <x v="9"/>
    <s v="إكسسوارات"/>
    <x v="0"/>
    <x v="0"/>
    <n v="3"/>
    <n v="1800"/>
    <n v="0.03"/>
    <s v="فيزا"/>
    <x v="3"/>
    <s v="عميل 164"/>
    <n v="5400"/>
    <n v="5238"/>
  </r>
  <r>
    <n v="10789"/>
    <s v="يوسف"/>
    <d v="2026-12-18T00:00:00"/>
    <x v="6"/>
    <s v="شاشات"/>
    <x v="4"/>
    <x v="11"/>
    <n v="3"/>
    <n v="9000"/>
    <n v="0.05"/>
    <s v="تحويل بنكي"/>
    <x v="2"/>
    <s v="عميل 102"/>
    <n v="27000"/>
    <n v="25650"/>
  </r>
  <r>
    <n v="10790"/>
    <s v="علي"/>
    <d v="2026-10-20T00:00:00"/>
    <x v="13"/>
    <s v="أجهزة كمبيوتر"/>
    <x v="6"/>
    <x v="14"/>
    <n v="3"/>
    <n v="28000"/>
    <n v="7.0000000000000007E-2"/>
    <s v="فيزا"/>
    <x v="0"/>
    <s v="عميل 12"/>
    <n v="84000"/>
    <n v="78120"/>
  </r>
  <r>
    <n v="10791"/>
    <s v="عمر"/>
    <d v="2026-12-26T00:00:00"/>
    <x v="11"/>
    <s v="طابعات"/>
    <x v="2"/>
    <x v="5"/>
    <n v="8"/>
    <n v="6500"/>
    <n v="0.03"/>
    <s v="فيزا"/>
    <x v="0"/>
    <s v="عميل 206"/>
    <n v="52000"/>
    <n v="50440"/>
  </r>
  <r>
    <n v="10792"/>
    <s v="محمد"/>
    <d v="2026-07-08T00:00:00"/>
    <x v="12"/>
    <s v="تخزين"/>
    <x v="6"/>
    <x v="22"/>
    <n v="5"/>
    <n v="5200"/>
    <n v="0.03"/>
    <s v="فيزا"/>
    <x v="0"/>
    <s v="عميل 8"/>
    <n v="26000"/>
    <n v="25220"/>
  </r>
  <r>
    <n v="10793"/>
    <s v="مؤمن"/>
    <d v="2026-04-15T00:00:00"/>
    <x v="10"/>
    <s v="شبكات"/>
    <x v="6"/>
    <x v="14"/>
    <n v="8"/>
    <n v="2200"/>
    <n v="0"/>
    <s v="فيزا"/>
    <x v="2"/>
    <s v="عميل 148"/>
    <n v="17600"/>
    <n v="17600"/>
  </r>
  <r>
    <n v="10794"/>
    <s v="مؤمن"/>
    <d v="2026-11-04T00:00:00"/>
    <x v="10"/>
    <s v="شبكات"/>
    <x v="4"/>
    <x v="20"/>
    <n v="3"/>
    <n v="2200"/>
    <n v="7.0000000000000007E-2"/>
    <s v="فيزا"/>
    <x v="2"/>
    <s v="عميل 97"/>
    <n v="6600"/>
    <n v="6138"/>
  </r>
  <r>
    <n v="10795"/>
    <s v="عمر"/>
    <d v="2026-05-15T00:00:00"/>
    <x v="2"/>
    <s v="شاشات"/>
    <x v="5"/>
    <x v="8"/>
    <n v="3"/>
    <n v="7500"/>
    <n v="0"/>
    <s v="فيزا"/>
    <x v="3"/>
    <s v="عميل 128"/>
    <n v="22500"/>
    <n v="22500"/>
  </r>
  <r>
    <n v="10796"/>
    <s v="يوسف"/>
    <d v="2026-06-15T00:00:00"/>
    <x v="9"/>
    <s v="إكسسوارات"/>
    <x v="4"/>
    <x v="7"/>
    <n v="1"/>
    <n v="1800"/>
    <n v="7.0000000000000007E-2"/>
    <s v="محفظة إلكترونية"/>
    <x v="1"/>
    <s v="عميل 197"/>
    <n v="1800"/>
    <n v="1674"/>
  </r>
  <r>
    <n v="10797"/>
    <s v="محمد"/>
    <d v="2026-02-18T00:00:00"/>
    <x v="10"/>
    <s v="شبكات"/>
    <x v="6"/>
    <x v="22"/>
    <n v="10"/>
    <n v="2200"/>
    <n v="0.05"/>
    <s v="كاش"/>
    <x v="0"/>
    <s v="عميل 171"/>
    <n v="22000"/>
    <n v="20900"/>
  </r>
  <r>
    <n v="10798"/>
    <s v="حسن"/>
    <d v="2026-12-30T00:00:00"/>
    <x v="11"/>
    <s v="طابعات"/>
    <x v="2"/>
    <x v="2"/>
    <n v="6"/>
    <n v="6500"/>
    <n v="0.1"/>
    <s v="كاش"/>
    <x v="0"/>
    <s v="عميل 130"/>
    <n v="39000"/>
    <n v="35100"/>
  </r>
  <r>
    <n v="10799"/>
    <s v="محمود"/>
    <d v="2026-03-09T00:00:00"/>
    <x v="7"/>
    <s v="تخزين"/>
    <x v="6"/>
    <x v="14"/>
    <n v="7"/>
    <n v="3200"/>
    <n v="0.15"/>
    <s v="كاش"/>
    <x v="1"/>
    <s v="عميل 134"/>
    <n v="22400"/>
    <n v="19040"/>
  </r>
  <r>
    <n v="10800"/>
    <s v="محمد"/>
    <d v="2026-06-12T00:00:00"/>
    <x v="3"/>
    <s v="أجهزة كمبيوتر"/>
    <x v="4"/>
    <x v="20"/>
    <n v="8"/>
    <n v="32000"/>
    <n v="0.03"/>
    <s v="محفظة إلكترونية"/>
    <x v="1"/>
    <s v="عميل 134"/>
    <n v="256000"/>
    <n v="248320"/>
  </r>
  <r>
    <n v="10801"/>
    <s v="عمر"/>
    <d v="2026-07-04T00:00:00"/>
    <x v="13"/>
    <s v="أجهزة كمبيوتر"/>
    <x v="3"/>
    <x v="4"/>
    <n v="3"/>
    <n v="28000"/>
    <n v="7.0000000000000007E-2"/>
    <s v="محفظة إلكترونية"/>
    <x v="2"/>
    <s v="عميل 135"/>
    <n v="84000"/>
    <n v="78120"/>
  </r>
  <r>
    <n v="10802"/>
    <s v="يوسف"/>
    <d v="2026-06-11T00:00:00"/>
    <x v="12"/>
    <s v="تخزين"/>
    <x v="7"/>
    <x v="19"/>
    <n v="6"/>
    <n v="5200"/>
    <n v="7.0000000000000007E-2"/>
    <s v="محفظة إلكترونية"/>
    <x v="1"/>
    <s v="عميل 285"/>
    <n v="31200"/>
    <n v="29015.999999999996"/>
  </r>
  <r>
    <n v="10803"/>
    <s v="أحمد"/>
    <d v="2026-04-28T00:00:00"/>
    <x v="8"/>
    <s v="إكسسوارات"/>
    <x v="4"/>
    <x v="7"/>
    <n v="4"/>
    <n v="1400"/>
    <n v="0.03"/>
    <s v="فيزا"/>
    <x v="0"/>
    <s v="عميل 241"/>
    <n v="5600"/>
    <n v="5432"/>
  </r>
  <r>
    <n v="10804"/>
    <s v="كريم"/>
    <d v="2026-01-21T00:00:00"/>
    <x v="14"/>
    <s v="إكسسوارات"/>
    <x v="5"/>
    <x v="8"/>
    <n v="7"/>
    <n v="450"/>
    <n v="0"/>
    <s v="محفظة إلكترونية"/>
    <x v="2"/>
    <s v="عميل 288"/>
    <n v="3150"/>
    <n v="3150"/>
  </r>
  <r>
    <n v="10805"/>
    <s v="يوسف"/>
    <d v="2026-03-05T00:00:00"/>
    <x v="6"/>
    <s v="شاشات"/>
    <x v="4"/>
    <x v="20"/>
    <n v="2"/>
    <n v="9000"/>
    <n v="0.15"/>
    <s v="تحويل بنكي"/>
    <x v="0"/>
    <s v="عميل 105"/>
    <n v="18000"/>
    <n v="15300"/>
  </r>
  <r>
    <n v="10806"/>
    <s v="مصطفى"/>
    <d v="2026-05-20T00:00:00"/>
    <x v="8"/>
    <s v="إكسسوارات"/>
    <x v="7"/>
    <x v="18"/>
    <n v="3"/>
    <n v="1400"/>
    <n v="0.15"/>
    <s v="فيزا"/>
    <x v="0"/>
    <s v="عميل 270"/>
    <n v="4200"/>
    <n v="3570"/>
  </r>
  <r>
    <n v="10807"/>
    <s v="كريم"/>
    <d v="2026-12-13T00:00:00"/>
    <x v="4"/>
    <s v="شبكات"/>
    <x v="5"/>
    <x v="8"/>
    <n v="2"/>
    <n v="150"/>
    <n v="0.03"/>
    <s v="كاش"/>
    <x v="2"/>
    <s v="عميل 14"/>
    <n v="300"/>
    <n v="291"/>
  </r>
  <r>
    <n v="10808"/>
    <s v="محمد"/>
    <d v="2026-06-15T00:00:00"/>
    <x v="14"/>
    <s v="إكسسوارات"/>
    <x v="0"/>
    <x v="26"/>
    <n v="6"/>
    <n v="450"/>
    <n v="0.1"/>
    <s v="فيزا"/>
    <x v="0"/>
    <s v="عميل 42"/>
    <n v="2700"/>
    <n v="2430"/>
  </r>
  <r>
    <n v="10809"/>
    <s v="أحمد"/>
    <d v="2026-06-18T00:00:00"/>
    <x v="6"/>
    <s v="شاشات"/>
    <x v="4"/>
    <x v="20"/>
    <n v="5"/>
    <n v="9000"/>
    <n v="0.1"/>
    <s v="كاش"/>
    <x v="3"/>
    <s v="عميل 167"/>
    <n v="45000"/>
    <n v="40500"/>
  </r>
  <r>
    <n v="10810"/>
    <s v="عمر"/>
    <d v="2026-06-15T00:00:00"/>
    <x v="10"/>
    <s v="شبكات"/>
    <x v="5"/>
    <x v="25"/>
    <n v="1"/>
    <n v="2200"/>
    <n v="0.15"/>
    <s v="كاش"/>
    <x v="0"/>
    <s v="عميل 281"/>
    <n v="2200"/>
    <n v="1870"/>
  </r>
  <r>
    <n v="10811"/>
    <s v="يوسف"/>
    <d v="2026-05-03T00:00:00"/>
    <x v="12"/>
    <s v="تخزين"/>
    <x v="6"/>
    <x v="23"/>
    <n v="7"/>
    <n v="5200"/>
    <n v="0.05"/>
    <s v="محفظة إلكترونية"/>
    <x v="0"/>
    <s v="عميل 11"/>
    <n v="36400"/>
    <n v="34580"/>
  </r>
  <r>
    <n v="10812"/>
    <s v="عمر"/>
    <d v="2026-11-28T00:00:00"/>
    <x v="8"/>
    <s v="إكسسوارات"/>
    <x v="2"/>
    <x v="5"/>
    <n v="7"/>
    <n v="1400"/>
    <n v="7.0000000000000007E-2"/>
    <s v="فيزا"/>
    <x v="0"/>
    <s v="عميل 153"/>
    <n v="9800"/>
    <n v="9114"/>
  </r>
  <r>
    <n v="10813"/>
    <s v="حسن"/>
    <d v="2026-03-09T00:00:00"/>
    <x v="6"/>
    <s v="شاشات"/>
    <x v="6"/>
    <x v="22"/>
    <n v="5"/>
    <n v="9000"/>
    <n v="0.15"/>
    <s v="تحويل بنكي"/>
    <x v="0"/>
    <s v="عميل 189"/>
    <n v="45000"/>
    <n v="38250"/>
  </r>
  <r>
    <n v="10814"/>
    <s v="كريم"/>
    <d v="2026-05-18T00:00:00"/>
    <x v="7"/>
    <s v="تخزين"/>
    <x v="2"/>
    <x v="2"/>
    <n v="8"/>
    <n v="3200"/>
    <n v="7.0000000000000007E-2"/>
    <s v="محفظة إلكترونية"/>
    <x v="0"/>
    <s v="عميل 217"/>
    <n v="25600"/>
    <n v="23808"/>
  </r>
  <r>
    <n v="10815"/>
    <s v="علي"/>
    <d v="2026-02-17T00:00:00"/>
    <x v="4"/>
    <s v="شبكات"/>
    <x v="3"/>
    <x v="24"/>
    <n v="3"/>
    <n v="150"/>
    <n v="7.0000000000000007E-2"/>
    <s v="كاش"/>
    <x v="2"/>
    <s v="عميل 238"/>
    <n v="450"/>
    <n v="418.5"/>
  </r>
  <r>
    <n v="10816"/>
    <s v="مصطفى"/>
    <d v="2026-11-19T00:00:00"/>
    <x v="0"/>
    <s v="تخزين"/>
    <x v="2"/>
    <x v="12"/>
    <n v="3"/>
    <n v="650"/>
    <n v="7.0000000000000007E-2"/>
    <s v="كاش"/>
    <x v="2"/>
    <s v="عميل 240"/>
    <n v="1950"/>
    <n v="1813.4999999999998"/>
  </r>
  <r>
    <n v="10817"/>
    <s v="يوسف"/>
    <d v="2026-12-17T00:00:00"/>
    <x v="2"/>
    <s v="شاشات"/>
    <x v="0"/>
    <x v="26"/>
    <n v="5"/>
    <n v="7500"/>
    <n v="0.03"/>
    <s v="تحويل بنكي"/>
    <x v="1"/>
    <s v="عميل 268"/>
    <n v="37500"/>
    <n v="36375"/>
  </r>
  <r>
    <n v="10818"/>
    <s v="محمد"/>
    <d v="2026-01-24T00:00:00"/>
    <x v="2"/>
    <s v="شاشات"/>
    <x v="7"/>
    <x v="19"/>
    <n v="1"/>
    <n v="7500"/>
    <n v="0.1"/>
    <s v="كاش"/>
    <x v="3"/>
    <s v="عميل 212"/>
    <n v="7500"/>
    <n v="6750"/>
  </r>
  <r>
    <n v="10819"/>
    <s v="محمود"/>
    <d v="2026-05-11T00:00:00"/>
    <x v="13"/>
    <s v="أجهزة كمبيوتر"/>
    <x v="4"/>
    <x v="11"/>
    <n v="10"/>
    <n v="28000"/>
    <n v="0.05"/>
    <s v="كاش"/>
    <x v="0"/>
    <s v="عميل 59"/>
    <n v="280000"/>
    <n v="266000"/>
  </r>
  <r>
    <n v="10820"/>
    <s v="أحمد"/>
    <d v="2026-02-12T00:00:00"/>
    <x v="10"/>
    <s v="شبكات"/>
    <x v="4"/>
    <x v="7"/>
    <n v="3"/>
    <n v="2200"/>
    <n v="7.0000000000000007E-2"/>
    <s v="محفظة إلكترونية"/>
    <x v="2"/>
    <s v="عميل 161"/>
    <n v="6600"/>
    <n v="6138"/>
  </r>
  <r>
    <n v="10821"/>
    <s v="عمر"/>
    <d v="2026-06-24T00:00:00"/>
    <x v="12"/>
    <s v="تخزين"/>
    <x v="4"/>
    <x v="11"/>
    <n v="8"/>
    <n v="5200"/>
    <n v="0.1"/>
    <s v="فيزا"/>
    <x v="1"/>
    <s v="عميل 95"/>
    <n v="41600"/>
    <n v="37440"/>
  </r>
  <r>
    <n v="10822"/>
    <s v="مصطفى"/>
    <d v="2026-01-10T00:00:00"/>
    <x v="13"/>
    <s v="أجهزة كمبيوتر"/>
    <x v="7"/>
    <x v="19"/>
    <n v="2"/>
    <n v="28000"/>
    <n v="7.0000000000000007E-2"/>
    <s v="كاش"/>
    <x v="3"/>
    <s v="عميل 60"/>
    <n v="56000"/>
    <n v="52080"/>
  </r>
  <r>
    <n v="10823"/>
    <s v="علي"/>
    <d v="2026-12-03T00:00:00"/>
    <x v="1"/>
    <s v="أجهزة كمبيوتر"/>
    <x v="5"/>
    <x v="8"/>
    <n v="8"/>
    <n v="25000"/>
    <n v="0.15"/>
    <s v="محفظة إلكترونية"/>
    <x v="2"/>
    <s v="عميل 185"/>
    <n v="200000"/>
    <n v="170000"/>
  </r>
  <r>
    <n v="10824"/>
    <s v="يوسف"/>
    <d v="2026-01-08T00:00:00"/>
    <x v="10"/>
    <s v="شبكات"/>
    <x v="6"/>
    <x v="14"/>
    <n v="2"/>
    <n v="2200"/>
    <n v="0.03"/>
    <s v="فيزا"/>
    <x v="0"/>
    <s v="عميل 9"/>
    <n v="4400"/>
    <n v="4268"/>
  </r>
  <r>
    <n v="10825"/>
    <s v="يوسف"/>
    <d v="2026-11-29T00:00:00"/>
    <x v="10"/>
    <s v="شبكات"/>
    <x v="2"/>
    <x v="5"/>
    <n v="4"/>
    <n v="2200"/>
    <n v="7.0000000000000007E-2"/>
    <s v="فيزا"/>
    <x v="3"/>
    <s v="عميل 276"/>
    <n v="8800"/>
    <n v="8183.9999999999991"/>
  </r>
  <r>
    <n v="10826"/>
    <s v="كريم"/>
    <d v="2026-08-05T00:00:00"/>
    <x v="5"/>
    <s v="إكسسوارات"/>
    <x v="0"/>
    <x v="13"/>
    <n v="8"/>
    <n v="1200"/>
    <n v="0.03"/>
    <s v="كاش"/>
    <x v="0"/>
    <s v="عميل 86"/>
    <n v="9600"/>
    <n v="9312"/>
  </r>
  <r>
    <n v="10827"/>
    <s v="أحمد"/>
    <d v="2026-08-19T00:00:00"/>
    <x v="11"/>
    <s v="طابعات"/>
    <x v="5"/>
    <x v="8"/>
    <n v="8"/>
    <n v="6500"/>
    <n v="7.0000000000000007E-2"/>
    <s v="فيزا"/>
    <x v="1"/>
    <s v="عميل 151"/>
    <n v="52000"/>
    <n v="48360"/>
  </r>
  <r>
    <n v="10828"/>
    <s v="محمد"/>
    <d v="2026-11-19T00:00:00"/>
    <x v="12"/>
    <s v="تخزين"/>
    <x v="6"/>
    <x v="23"/>
    <n v="6"/>
    <n v="5200"/>
    <n v="0"/>
    <s v="محفظة إلكترونية"/>
    <x v="3"/>
    <s v="عميل 254"/>
    <n v="31200"/>
    <n v="31200"/>
  </r>
  <r>
    <n v="10829"/>
    <s v="كريم"/>
    <d v="2026-09-20T00:00:00"/>
    <x v="10"/>
    <s v="شبكات"/>
    <x v="7"/>
    <x v="18"/>
    <n v="8"/>
    <n v="2200"/>
    <n v="7.0000000000000007E-2"/>
    <s v="محفظة إلكترونية"/>
    <x v="1"/>
    <s v="عميل 32"/>
    <n v="17600"/>
    <n v="16367.999999999998"/>
  </r>
  <r>
    <n v="10830"/>
    <s v="مصطفى"/>
    <d v="2026-02-02T00:00:00"/>
    <x v="7"/>
    <s v="تخزين"/>
    <x v="1"/>
    <x v="3"/>
    <n v="10"/>
    <n v="3200"/>
    <n v="0.05"/>
    <s v="تحويل بنكي"/>
    <x v="3"/>
    <s v="عميل 243"/>
    <n v="32000"/>
    <n v="30400"/>
  </r>
  <r>
    <n v="10831"/>
    <s v="علي"/>
    <d v="2026-01-11T00:00:00"/>
    <x v="13"/>
    <s v="أجهزة كمبيوتر"/>
    <x v="4"/>
    <x v="11"/>
    <n v="6"/>
    <n v="28000"/>
    <n v="7.0000000000000007E-2"/>
    <s v="فيزا"/>
    <x v="2"/>
    <s v="عميل 99"/>
    <n v="168000"/>
    <n v="156240"/>
  </r>
  <r>
    <n v="10832"/>
    <s v="مؤمن"/>
    <d v="2026-10-28T00:00:00"/>
    <x v="6"/>
    <s v="شاشات"/>
    <x v="3"/>
    <x v="17"/>
    <n v="4"/>
    <n v="9000"/>
    <n v="0.1"/>
    <s v="تحويل بنكي"/>
    <x v="3"/>
    <s v="عميل 68"/>
    <n v="36000"/>
    <n v="32400"/>
  </r>
  <r>
    <n v="10833"/>
    <s v="محمود"/>
    <d v="2026-08-30T00:00:00"/>
    <x v="11"/>
    <s v="طابعات"/>
    <x v="7"/>
    <x v="19"/>
    <n v="7"/>
    <n v="6500"/>
    <n v="7.0000000000000007E-2"/>
    <s v="فيزا"/>
    <x v="1"/>
    <s v="عميل 145"/>
    <n v="45500"/>
    <n v="42315"/>
  </r>
  <r>
    <n v="10834"/>
    <s v="مؤمن"/>
    <d v="2026-03-22T00:00:00"/>
    <x v="10"/>
    <s v="شبكات"/>
    <x v="0"/>
    <x v="26"/>
    <n v="3"/>
    <n v="2200"/>
    <n v="0.03"/>
    <s v="محفظة إلكترونية"/>
    <x v="0"/>
    <s v="عميل 213"/>
    <n v="6600"/>
    <n v="6402"/>
  </r>
  <r>
    <n v="10835"/>
    <s v="أحمد"/>
    <d v="2026-01-10T00:00:00"/>
    <x v="6"/>
    <s v="شاشات"/>
    <x v="7"/>
    <x v="18"/>
    <n v="4"/>
    <n v="9000"/>
    <n v="0.1"/>
    <s v="تحويل بنكي"/>
    <x v="2"/>
    <s v="عميل 183"/>
    <n v="36000"/>
    <n v="32400"/>
  </r>
  <r>
    <n v="10836"/>
    <s v="محمد"/>
    <d v="2026-06-22T00:00:00"/>
    <x v="0"/>
    <s v="تخزين"/>
    <x v="5"/>
    <x v="25"/>
    <n v="9"/>
    <n v="650"/>
    <n v="0"/>
    <s v="محفظة إلكترونية"/>
    <x v="0"/>
    <s v="عميل 117"/>
    <n v="5850"/>
    <n v="5850"/>
  </r>
  <r>
    <n v="10837"/>
    <s v="محمود"/>
    <d v="2026-01-24T00:00:00"/>
    <x v="13"/>
    <s v="أجهزة كمبيوتر"/>
    <x v="2"/>
    <x v="2"/>
    <n v="5"/>
    <n v="28000"/>
    <n v="0.05"/>
    <s v="تحويل بنكي"/>
    <x v="1"/>
    <s v="عميل 264"/>
    <n v="140000"/>
    <n v="133000"/>
  </r>
  <r>
    <n v="10838"/>
    <s v="محمد"/>
    <d v="2026-02-24T00:00:00"/>
    <x v="12"/>
    <s v="تخزين"/>
    <x v="0"/>
    <x v="0"/>
    <n v="8"/>
    <n v="5200"/>
    <n v="7.0000000000000007E-2"/>
    <s v="كاش"/>
    <x v="0"/>
    <s v="عميل 260"/>
    <n v="41600"/>
    <n v="38688"/>
  </r>
  <r>
    <n v="10839"/>
    <s v="يوسف"/>
    <d v="2026-05-30T00:00:00"/>
    <x v="13"/>
    <s v="أجهزة كمبيوتر"/>
    <x v="5"/>
    <x v="9"/>
    <n v="4"/>
    <n v="28000"/>
    <n v="0.05"/>
    <s v="محفظة إلكترونية"/>
    <x v="3"/>
    <s v="عميل 51"/>
    <n v="112000"/>
    <n v="106400"/>
  </r>
  <r>
    <n v="10840"/>
    <s v="مؤمن"/>
    <d v="2026-08-13T00:00:00"/>
    <x v="3"/>
    <s v="أجهزة كمبيوتر"/>
    <x v="3"/>
    <x v="17"/>
    <n v="3"/>
    <n v="32000"/>
    <n v="0"/>
    <s v="محفظة إلكترونية"/>
    <x v="0"/>
    <s v="عميل 126"/>
    <n v="96000"/>
    <n v="96000"/>
  </r>
  <r>
    <n v="10841"/>
    <s v="يوسف"/>
    <d v="2026-02-13T00:00:00"/>
    <x v="8"/>
    <s v="إكسسوارات"/>
    <x v="4"/>
    <x v="20"/>
    <n v="5"/>
    <n v="1400"/>
    <n v="0.1"/>
    <s v="تحويل بنكي"/>
    <x v="2"/>
    <s v="عميل 213"/>
    <n v="7000"/>
    <n v="6300"/>
  </r>
  <r>
    <n v="10842"/>
    <s v="مؤمن"/>
    <d v="2026-03-12T00:00:00"/>
    <x v="9"/>
    <s v="إكسسوارات"/>
    <x v="2"/>
    <x v="5"/>
    <n v="9"/>
    <n v="1800"/>
    <n v="7.0000000000000007E-2"/>
    <s v="محفظة إلكترونية"/>
    <x v="3"/>
    <s v="عميل 210"/>
    <n v="16200"/>
    <n v="15065.999999999998"/>
  </r>
  <r>
    <n v="10843"/>
    <s v="كريم"/>
    <d v="2026-03-16T00:00:00"/>
    <x v="11"/>
    <s v="طابعات"/>
    <x v="4"/>
    <x v="11"/>
    <n v="6"/>
    <n v="6500"/>
    <n v="0"/>
    <s v="كاش"/>
    <x v="0"/>
    <s v="عميل 44"/>
    <n v="39000"/>
    <n v="39000"/>
  </r>
  <r>
    <n v="10844"/>
    <s v="أحمد"/>
    <d v="2026-07-21T00:00:00"/>
    <x v="9"/>
    <s v="إكسسوارات"/>
    <x v="3"/>
    <x v="17"/>
    <n v="3"/>
    <n v="1800"/>
    <n v="7.0000000000000007E-2"/>
    <s v="كاش"/>
    <x v="1"/>
    <s v="عميل 295"/>
    <n v="5400"/>
    <n v="5022"/>
  </r>
  <r>
    <n v="10845"/>
    <s v="مصطفى"/>
    <d v="2026-06-05T00:00:00"/>
    <x v="1"/>
    <s v="أجهزة كمبيوتر"/>
    <x v="7"/>
    <x v="15"/>
    <n v="7"/>
    <n v="25000"/>
    <n v="0.15"/>
    <s v="تحويل بنكي"/>
    <x v="2"/>
    <s v="عميل 5"/>
    <n v="175000"/>
    <n v="148750"/>
  </r>
  <r>
    <n v="10846"/>
    <s v="علي"/>
    <d v="2026-08-17T00:00:00"/>
    <x v="8"/>
    <s v="إكسسوارات"/>
    <x v="7"/>
    <x v="19"/>
    <n v="10"/>
    <n v="1400"/>
    <n v="0.03"/>
    <s v="فيزا"/>
    <x v="3"/>
    <s v="عميل 177"/>
    <n v="14000"/>
    <n v="13580"/>
  </r>
  <r>
    <n v="10847"/>
    <s v="أحمد"/>
    <d v="2026-10-03T00:00:00"/>
    <x v="11"/>
    <s v="طابعات"/>
    <x v="6"/>
    <x v="23"/>
    <n v="5"/>
    <n v="6500"/>
    <n v="0"/>
    <s v="تحويل بنكي"/>
    <x v="3"/>
    <s v="عميل 65"/>
    <n v="32500"/>
    <n v="32500"/>
  </r>
  <r>
    <n v="10848"/>
    <s v="مصطفى"/>
    <d v="2026-06-09T00:00:00"/>
    <x v="7"/>
    <s v="تخزين"/>
    <x v="7"/>
    <x v="18"/>
    <n v="2"/>
    <n v="3200"/>
    <n v="0.1"/>
    <s v="تحويل بنكي"/>
    <x v="1"/>
    <s v="عميل 12"/>
    <n v="6400"/>
    <n v="5760"/>
  </r>
  <r>
    <n v="10849"/>
    <s v="علي"/>
    <d v="2026-09-16T00:00:00"/>
    <x v="1"/>
    <s v="أجهزة كمبيوتر"/>
    <x v="7"/>
    <x v="18"/>
    <n v="5"/>
    <n v="25000"/>
    <n v="0.15"/>
    <s v="كاش"/>
    <x v="0"/>
    <s v="عميل 191"/>
    <n v="125000"/>
    <n v="106250"/>
  </r>
  <r>
    <n v="10850"/>
    <s v="محمد"/>
    <d v="2026-08-18T00:00:00"/>
    <x v="14"/>
    <s v="إكسسوارات"/>
    <x v="3"/>
    <x v="4"/>
    <n v="1"/>
    <n v="450"/>
    <n v="0.15"/>
    <s v="تحويل بنكي"/>
    <x v="0"/>
    <s v="عميل 233"/>
    <n v="450"/>
    <n v="382.5"/>
  </r>
  <r>
    <n v="10851"/>
    <s v="مصطفى"/>
    <d v="2026-11-01T00:00:00"/>
    <x v="9"/>
    <s v="إكسسوارات"/>
    <x v="2"/>
    <x v="12"/>
    <n v="10"/>
    <n v="1800"/>
    <n v="0.1"/>
    <s v="فيزا"/>
    <x v="2"/>
    <s v="عميل 154"/>
    <n v="18000"/>
    <n v="16200"/>
  </r>
  <r>
    <n v="10852"/>
    <s v="مؤمن"/>
    <d v="2026-02-23T00:00:00"/>
    <x v="14"/>
    <s v="إكسسوارات"/>
    <x v="5"/>
    <x v="8"/>
    <n v="9"/>
    <n v="450"/>
    <n v="0.15"/>
    <s v="تحويل بنكي"/>
    <x v="1"/>
    <s v="عميل 185"/>
    <n v="4050"/>
    <n v="3442.5"/>
  </r>
  <r>
    <n v="10853"/>
    <s v="محمد"/>
    <d v="2026-02-17T00:00:00"/>
    <x v="6"/>
    <s v="شاشات"/>
    <x v="0"/>
    <x v="16"/>
    <n v="7"/>
    <n v="9000"/>
    <n v="7.0000000000000007E-2"/>
    <s v="كاش"/>
    <x v="3"/>
    <s v="عميل 67"/>
    <n v="63000"/>
    <n v="58589.999999999993"/>
  </r>
  <r>
    <n v="10854"/>
    <s v="مصطفى"/>
    <d v="2026-07-26T00:00:00"/>
    <x v="6"/>
    <s v="شاشات"/>
    <x v="2"/>
    <x v="2"/>
    <n v="2"/>
    <n v="9000"/>
    <n v="0.05"/>
    <s v="محفظة إلكترونية"/>
    <x v="2"/>
    <s v="عميل 300"/>
    <n v="18000"/>
    <n v="17100"/>
  </r>
  <r>
    <n v="10855"/>
    <s v="علي"/>
    <d v="2026-03-25T00:00:00"/>
    <x v="6"/>
    <s v="شاشات"/>
    <x v="6"/>
    <x v="14"/>
    <n v="8"/>
    <n v="9000"/>
    <n v="0.15"/>
    <s v="فيزا"/>
    <x v="1"/>
    <s v="عميل 249"/>
    <n v="72000"/>
    <n v="61200"/>
  </r>
  <r>
    <n v="10856"/>
    <s v="محمد"/>
    <d v="2026-12-22T00:00:00"/>
    <x v="10"/>
    <s v="شبكات"/>
    <x v="4"/>
    <x v="7"/>
    <n v="9"/>
    <n v="2200"/>
    <n v="0.1"/>
    <s v="فيزا"/>
    <x v="3"/>
    <s v="عميل 243"/>
    <n v="19800"/>
    <n v="17820"/>
  </r>
  <r>
    <n v="10857"/>
    <s v="علي"/>
    <d v="2026-02-26T00:00:00"/>
    <x v="1"/>
    <s v="أجهزة كمبيوتر"/>
    <x v="5"/>
    <x v="21"/>
    <n v="2"/>
    <n v="25000"/>
    <n v="0.1"/>
    <s v="كاش"/>
    <x v="2"/>
    <s v="عميل 293"/>
    <n v="50000"/>
    <n v="45000"/>
  </r>
  <r>
    <n v="10858"/>
    <s v="عمر"/>
    <d v="2026-07-11T00:00:00"/>
    <x v="14"/>
    <s v="إكسسوارات"/>
    <x v="1"/>
    <x v="10"/>
    <n v="2"/>
    <n v="450"/>
    <n v="0.05"/>
    <s v="تحويل بنكي"/>
    <x v="2"/>
    <s v="عميل 249"/>
    <n v="900"/>
    <n v="855"/>
  </r>
  <r>
    <n v="10859"/>
    <s v="أحمد"/>
    <d v="2026-06-06T00:00:00"/>
    <x v="1"/>
    <s v="أجهزة كمبيوتر"/>
    <x v="5"/>
    <x v="25"/>
    <n v="10"/>
    <n v="25000"/>
    <n v="7.0000000000000007E-2"/>
    <s v="تحويل بنكي"/>
    <x v="1"/>
    <s v="عميل 94"/>
    <n v="250000"/>
    <n v="232499.99999999997"/>
  </r>
  <r>
    <n v="10860"/>
    <s v="محمود"/>
    <d v="2026-02-04T00:00:00"/>
    <x v="8"/>
    <s v="إكسسوارات"/>
    <x v="4"/>
    <x v="7"/>
    <n v="2"/>
    <n v="1400"/>
    <n v="0.1"/>
    <s v="كاش"/>
    <x v="3"/>
    <s v="عميل 247"/>
    <n v="2800"/>
    <n v="2520"/>
  </r>
  <r>
    <n v="10861"/>
    <s v="علي"/>
    <d v="2026-09-01T00:00:00"/>
    <x v="12"/>
    <s v="تخزين"/>
    <x v="7"/>
    <x v="19"/>
    <n v="8"/>
    <n v="5200"/>
    <n v="0.05"/>
    <s v="فيزا"/>
    <x v="1"/>
    <s v="عميل 259"/>
    <n v="41600"/>
    <n v="39520"/>
  </r>
  <r>
    <n v="10862"/>
    <s v="محمود"/>
    <d v="2026-02-15T00:00:00"/>
    <x v="0"/>
    <s v="تخزين"/>
    <x v="4"/>
    <x v="20"/>
    <n v="8"/>
    <n v="650"/>
    <n v="0.03"/>
    <s v="محفظة إلكترونية"/>
    <x v="3"/>
    <s v="عميل 120"/>
    <n v="5200"/>
    <n v="5044"/>
  </r>
  <r>
    <n v="10863"/>
    <s v="كريم"/>
    <d v="2026-05-23T00:00:00"/>
    <x v="11"/>
    <s v="طابعات"/>
    <x v="6"/>
    <x v="14"/>
    <n v="9"/>
    <n v="6500"/>
    <n v="0"/>
    <s v="كاش"/>
    <x v="1"/>
    <s v="عميل 13"/>
    <n v="58500"/>
    <n v="58500"/>
  </r>
  <r>
    <n v="10864"/>
    <s v="مصطفى"/>
    <d v="2026-02-13T00:00:00"/>
    <x v="12"/>
    <s v="تخزين"/>
    <x v="7"/>
    <x v="19"/>
    <n v="2"/>
    <n v="5200"/>
    <n v="0.15"/>
    <s v="فيزا"/>
    <x v="0"/>
    <s v="عميل 292"/>
    <n v="10400"/>
    <n v="8840"/>
  </r>
  <r>
    <n v="10865"/>
    <s v="محمد"/>
    <d v="2026-12-04T00:00:00"/>
    <x v="7"/>
    <s v="تخزين"/>
    <x v="2"/>
    <x v="2"/>
    <n v="9"/>
    <n v="3200"/>
    <n v="0"/>
    <s v="فيزا"/>
    <x v="0"/>
    <s v="عميل 141"/>
    <n v="28800"/>
    <n v="28800"/>
  </r>
  <r>
    <n v="10866"/>
    <s v="محمد"/>
    <d v="2026-10-01T00:00:00"/>
    <x v="4"/>
    <s v="شبكات"/>
    <x v="2"/>
    <x v="5"/>
    <n v="10"/>
    <n v="150"/>
    <n v="7.0000000000000007E-2"/>
    <s v="تحويل بنكي"/>
    <x v="3"/>
    <s v="عميل 24"/>
    <n v="1500"/>
    <n v="1395"/>
  </r>
  <r>
    <n v="10867"/>
    <s v="علي"/>
    <d v="2026-01-13T00:00:00"/>
    <x v="6"/>
    <s v="شاشات"/>
    <x v="1"/>
    <x v="6"/>
    <n v="7"/>
    <n v="9000"/>
    <n v="0.03"/>
    <s v="تحويل بنكي"/>
    <x v="3"/>
    <s v="عميل 132"/>
    <n v="63000"/>
    <n v="61110"/>
  </r>
  <r>
    <n v="10868"/>
    <s v="عمر"/>
    <d v="2026-03-15T00:00:00"/>
    <x v="13"/>
    <s v="أجهزة كمبيوتر"/>
    <x v="0"/>
    <x v="0"/>
    <n v="9"/>
    <n v="28000"/>
    <n v="0.03"/>
    <s v="فيزا"/>
    <x v="2"/>
    <s v="عميل 46"/>
    <n v="252000"/>
    <n v="244440"/>
  </r>
  <r>
    <n v="10869"/>
    <s v="حسن"/>
    <d v="2026-06-16T00:00:00"/>
    <x v="3"/>
    <s v="أجهزة كمبيوتر"/>
    <x v="7"/>
    <x v="15"/>
    <n v="3"/>
    <n v="32000"/>
    <n v="0"/>
    <s v="فيزا"/>
    <x v="0"/>
    <s v="عميل 30"/>
    <n v="96000"/>
    <n v="96000"/>
  </r>
  <r>
    <n v="10870"/>
    <s v="علي"/>
    <d v="2026-06-15T00:00:00"/>
    <x v="14"/>
    <s v="إكسسوارات"/>
    <x v="6"/>
    <x v="23"/>
    <n v="6"/>
    <n v="450"/>
    <n v="0.03"/>
    <s v="تحويل بنكي"/>
    <x v="3"/>
    <s v="عميل 62"/>
    <n v="2700"/>
    <n v="2619"/>
  </r>
  <r>
    <n v="10871"/>
    <s v="مؤمن"/>
    <d v="2026-09-10T00:00:00"/>
    <x v="1"/>
    <s v="أجهزة كمبيوتر"/>
    <x v="2"/>
    <x v="5"/>
    <n v="10"/>
    <n v="25000"/>
    <n v="0.1"/>
    <s v="محفظة إلكترونية"/>
    <x v="0"/>
    <s v="عميل 138"/>
    <n v="250000"/>
    <n v="225000"/>
  </r>
  <r>
    <n v="10872"/>
    <s v="محمد"/>
    <d v="2026-09-05T00:00:00"/>
    <x v="1"/>
    <s v="أجهزة كمبيوتر"/>
    <x v="3"/>
    <x v="17"/>
    <n v="9"/>
    <n v="25000"/>
    <n v="7.0000000000000007E-2"/>
    <s v="كاش"/>
    <x v="3"/>
    <s v="عميل 120"/>
    <n v="225000"/>
    <n v="209250"/>
  </r>
  <r>
    <n v="10873"/>
    <s v="محمد"/>
    <d v="2026-05-07T00:00:00"/>
    <x v="11"/>
    <s v="طابعات"/>
    <x v="1"/>
    <x v="6"/>
    <n v="9"/>
    <n v="6500"/>
    <n v="0.1"/>
    <s v="فيزا"/>
    <x v="2"/>
    <s v="عميل 291"/>
    <n v="58500"/>
    <n v="52650"/>
  </r>
  <r>
    <n v="10874"/>
    <s v="يوسف"/>
    <d v="2026-07-11T00:00:00"/>
    <x v="2"/>
    <s v="شاشات"/>
    <x v="4"/>
    <x v="7"/>
    <n v="9"/>
    <n v="7500"/>
    <n v="0.03"/>
    <s v="فيزا"/>
    <x v="1"/>
    <s v="عميل 276"/>
    <n v="67500"/>
    <n v="65475"/>
  </r>
  <r>
    <n v="10875"/>
    <s v="حسن"/>
    <d v="2026-05-29T00:00:00"/>
    <x v="2"/>
    <s v="شاشات"/>
    <x v="4"/>
    <x v="7"/>
    <n v="1"/>
    <n v="7500"/>
    <n v="7.0000000000000007E-2"/>
    <s v="فيزا"/>
    <x v="0"/>
    <s v="عميل 31"/>
    <n v="7500"/>
    <n v="6974.9999999999991"/>
  </r>
  <r>
    <n v="10876"/>
    <s v="علي"/>
    <d v="2026-06-29T00:00:00"/>
    <x v="11"/>
    <s v="طابعات"/>
    <x v="4"/>
    <x v="20"/>
    <n v="10"/>
    <n v="6500"/>
    <n v="0.05"/>
    <s v="فيزا"/>
    <x v="2"/>
    <s v="عميل 24"/>
    <n v="65000"/>
    <n v="61750"/>
  </r>
  <r>
    <n v="10877"/>
    <s v="محمد"/>
    <d v="2026-03-13T00:00:00"/>
    <x v="3"/>
    <s v="أجهزة كمبيوتر"/>
    <x v="0"/>
    <x v="13"/>
    <n v="2"/>
    <n v="32000"/>
    <n v="7.0000000000000007E-2"/>
    <s v="تحويل بنكي"/>
    <x v="3"/>
    <s v="عميل 108"/>
    <n v="64000"/>
    <n v="59519.999999999993"/>
  </r>
  <r>
    <n v="10878"/>
    <s v="عمر"/>
    <d v="2026-12-29T00:00:00"/>
    <x v="12"/>
    <s v="تخزين"/>
    <x v="3"/>
    <x v="24"/>
    <n v="6"/>
    <n v="5200"/>
    <n v="0.15"/>
    <s v="محفظة إلكترونية"/>
    <x v="2"/>
    <s v="عميل 126"/>
    <n v="31200"/>
    <n v="26520"/>
  </r>
  <r>
    <n v="10879"/>
    <s v="حسن"/>
    <d v="2026-06-18T00:00:00"/>
    <x v="0"/>
    <s v="تخزين"/>
    <x v="3"/>
    <x v="17"/>
    <n v="4"/>
    <n v="650"/>
    <n v="7.0000000000000007E-2"/>
    <s v="كاش"/>
    <x v="1"/>
    <s v="عميل 2"/>
    <n v="2600"/>
    <n v="2418"/>
  </r>
  <r>
    <n v="10880"/>
    <s v="يوسف"/>
    <d v="2026-07-31T00:00:00"/>
    <x v="12"/>
    <s v="تخزين"/>
    <x v="4"/>
    <x v="7"/>
    <n v="1"/>
    <n v="5200"/>
    <n v="0.15"/>
    <s v="محفظة إلكترونية"/>
    <x v="3"/>
    <s v="عميل 276"/>
    <n v="5200"/>
    <n v="4420"/>
  </r>
  <r>
    <n v="10881"/>
    <s v="محمد"/>
    <d v="2026-06-30T00:00:00"/>
    <x v="13"/>
    <s v="أجهزة كمبيوتر"/>
    <x v="0"/>
    <x v="0"/>
    <n v="8"/>
    <n v="28000"/>
    <n v="0.15"/>
    <s v="محفظة إلكترونية"/>
    <x v="2"/>
    <s v="عميل 199"/>
    <n v="224000"/>
    <n v="190400"/>
  </r>
  <r>
    <n v="10882"/>
    <s v="مؤمن"/>
    <d v="2026-08-16T00:00:00"/>
    <x v="3"/>
    <s v="أجهزة كمبيوتر"/>
    <x v="1"/>
    <x v="1"/>
    <n v="8"/>
    <n v="32000"/>
    <n v="0.05"/>
    <s v="كاش"/>
    <x v="1"/>
    <s v="عميل 11"/>
    <n v="256000"/>
    <n v="243200"/>
  </r>
  <r>
    <n v="10883"/>
    <s v="محمد"/>
    <d v="2026-11-11T00:00:00"/>
    <x v="4"/>
    <s v="شبكات"/>
    <x v="7"/>
    <x v="19"/>
    <n v="6"/>
    <n v="150"/>
    <n v="0.03"/>
    <s v="تحويل بنكي"/>
    <x v="1"/>
    <s v="عميل 120"/>
    <n v="900"/>
    <n v="873"/>
  </r>
  <r>
    <n v="10884"/>
    <s v="حسن"/>
    <d v="2026-04-18T00:00:00"/>
    <x v="6"/>
    <s v="شاشات"/>
    <x v="3"/>
    <x v="4"/>
    <n v="5"/>
    <n v="9000"/>
    <n v="7.0000000000000007E-2"/>
    <s v="كاش"/>
    <x v="1"/>
    <s v="عميل 203"/>
    <n v="45000"/>
    <n v="41850"/>
  </r>
  <r>
    <n v="10885"/>
    <s v="يوسف"/>
    <d v="2026-10-10T00:00:00"/>
    <x v="13"/>
    <s v="أجهزة كمبيوتر"/>
    <x v="7"/>
    <x v="19"/>
    <n v="9"/>
    <n v="28000"/>
    <n v="7.0000000000000007E-2"/>
    <s v="فيزا"/>
    <x v="1"/>
    <s v="عميل 34"/>
    <n v="252000"/>
    <n v="234359.99999999997"/>
  </r>
  <r>
    <n v="10886"/>
    <s v="حسن"/>
    <d v="2026-04-27T00:00:00"/>
    <x v="12"/>
    <s v="تخزين"/>
    <x v="5"/>
    <x v="9"/>
    <n v="3"/>
    <n v="5200"/>
    <n v="0.05"/>
    <s v="تحويل بنكي"/>
    <x v="1"/>
    <s v="عميل 12"/>
    <n v="15600"/>
    <n v="14820"/>
  </r>
  <r>
    <n v="10887"/>
    <s v="أحمد"/>
    <d v="2026-08-07T00:00:00"/>
    <x v="10"/>
    <s v="شبكات"/>
    <x v="7"/>
    <x v="19"/>
    <n v="9"/>
    <n v="2200"/>
    <n v="7.0000000000000007E-2"/>
    <s v="كاش"/>
    <x v="2"/>
    <s v="عميل 222"/>
    <n v="19800"/>
    <n v="18414"/>
  </r>
  <r>
    <n v="10888"/>
    <s v="مصطفى"/>
    <d v="2026-08-27T00:00:00"/>
    <x v="8"/>
    <s v="إكسسوارات"/>
    <x v="6"/>
    <x v="14"/>
    <n v="2"/>
    <n v="1400"/>
    <n v="0.15"/>
    <s v="محفظة إلكترونية"/>
    <x v="2"/>
    <s v="عميل 265"/>
    <n v="2800"/>
    <n v="2380"/>
  </r>
  <r>
    <n v="10889"/>
    <s v="علي"/>
    <d v="2026-09-30T00:00:00"/>
    <x v="4"/>
    <s v="شبكات"/>
    <x v="1"/>
    <x v="10"/>
    <n v="1"/>
    <n v="150"/>
    <n v="0.05"/>
    <s v="محفظة إلكترونية"/>
    <x v="2"/>
    <s v="عميل 3"/>
    <n v="150"/>
    <n v="142.5"/>
  </r>
  <r>
    <n v="10890"/>
    <s v="أحمد"/>
    <d v="2026-04-26T00:00:00"/>
    <x v="2"/>
    <s v="شاشات"/>
    <x v="2"/>
    <x v="2"/>
    <n v="2"/>
    <n v="7500"/>
    <n v="0.1"/>
    <s v="محفظة إلكترونية"/>
    <x v="0"/>
    <s v="عميل 128"/>
    <n v="15000"/>
    <n v="13500"/>
  </r>
  <r>
    <n v="10891"/>
    <s v="محمد"/>
    <d v="2026-01-15T00:00:00"/>
    <x v="5"/>
    <s v="إكسسوارات"/>
    <x v="5"/>
    <x v="21"/>
    <n v="5"/>
    <n v="1200"/>
    <n v="0"/>
    <s v="محفظة إلكترونية"/>
    <x v="3"/>
    <s v="عميل 13"/>
    <n v="6000"/>
    <n v="6000"/>
  </r>
  <r>
    <n v="10892"/>
    <s v="كريم"/>
    <d v="2026-05-03T00:00:00"/>
    <x v="12"/>
    <s v="تخزين"/>
    <x v="3"/>
    <x v="17"/>
    <n v="4"/>
    <n v="5200"/>
    <n v="0"/>
    <s v="تحويل بنكي"/>
    <x v="0"/>
    <s v="عميل 171"/>
    <n v="20800"/>
    <n v="20800"/>
  </r>
  <r>
    <n v="10893"/>
    <s v="كريم"/>
    <d v="2026-02-18T00:00:00"/>
    <x v="7"/>
    <s v="تخزين"/>
    <x v="2"/>
    <x v="5"/>
    <n v="10"/>
    <n v="3200"/>
    <n v="0.1"/>
    <s v="محفظة إلكترونية"/>
    <x v="0"/>
    <s v="عميل 44"/>
    <n v="32000"/>
    <n v="28800"/>
  </r>
  <r>
    <n v="10894"/>
    <s v="محمد"/>
    <d v="2026-03-07T00:00:00"/>
    <x v="1"/>
    <s v="أجهزة كمبيوتر"/>
    <x v="1"/>
    <x v="3"/>
    <n v="6"/>
    <n v="25000"/>
    <n v="0.15"/>
    <s v="كاش"/>
    <x v="3"/>
    <s v="عميل 29"/>
    <n v="150000"/>
    <n v="127500"/>
  </r>
  <r>
    <n v="10895"/>
    <s v="أحمد"/>
    <d v="2026-10-14T00:00:00"/>
    <x v="14"/>
    <s v="إكسسوارات"/>
    <x v="6"/>
    <x v="23"/>
    <n v="2"/>
    <n v="450"/>
    <n v="0.15"/>
    <s v="كاش"/>
    <x v="2"/>
    <s v="عميل 196"/>
    <n v="900"/>
    <n v="765"/>
  </r>
  <r>
    <n v="10896"/>
    <s v="حسن"/>
    <d v="2026-01-06T00:00:00"/>
    <x v="2"/>
    <s v="شاشات"/>
    <x v="0"/>
    <x v="26"/>
    <n v="4"/>
    <n v="7500"/>
    <n v="0.1"/>
    <s v="محفظة إلكترونية"/>
    <x v="3"/>
    <s v="عميل 238"/>
    <n v="30000"/>
    <n v="27000"/>
  </r>
  <r>
    <n v="10897"/>
    <s v="محمود"/>
    <d v="2026-11-30T00:00:00"/>
    <x v="4"/>
    <s v="شبكات"/>
    <x v="6"/>
    <x v="22"/>
    <n v="10"/>
    <n v="150"/>
    <n v="0"/>
    <s v="كاش"/>
    <x v="3"/>
    <s v="عميل 265"/>
    <n v="1500"/>
    <n v="1500"/>
  </r>
  <r>
    <n v="10898"/>
    <s v="حسن"/>
    <d v="2026-02-04T00:00:00"/>
    <x v="9"/>
    <s v="إكسسوارات"/>
    <x v="2"/>
    <x v="5"/>
    <n v="2"/>
    <n v="1800"/>
    <n v="0"/>
    <s v="فيزا"/>
    <x v="1"/>
    <s v="عميل 261"/>
    <n v="3600"/>
    <n v="3600"/>
  </r>
  <r>
    <n v="10899"/>
    <s v="حسن"/>
    <d v="2026-08-16T00:00:00"/>
    <x v="14"/>
    <s v="إكسسوارات"/>
    <x v="3"/>
    <x v="17"/>
    <n v="8"/>
    <n v="450"/>
    <n v="0.15"/>
    <s v="فيزا"/>
    <x v="1"/>
    <s v="عميل 71"/>
    <n v="3600"/>
    <n v="3060"/>
  </r>
  <r>
    <n v="10900"/>
    <s v="حسن"/>
    <d v="2026-08-12T00:00:00"/>
    <x v="4"/>
    <s v="شبكات"/>
    <x v="1"/>
    <x v="1"/>
    <n v="3"/>
    <n v="150"/>
    <n v="0.05"/>
    <s v="تحويل بنكي"/>
    <x v="2"/>
    <s v="عميل 299"/>
    <n v="450"/>
    <n v="427.5"/>
  </r>
  <r>
    <n v="10901"/>
    <s v="حسن"/>
    <d v="2026-06-25T00:00:00"/>
    <x v="11"/>
    <s v="طابعات"/>
    <x v="5"/>
    <x v="25"/>
    <n v="8"/>
    <n v="6500"/>
    <n v="0.05"/>
    <s v="تحويل بنكي"/>
    <x v="2"/>
    <s v="عميل 5"/>
    <n v="52000"/>
    <n v="49400"/>
  </r>
  <r>
    <n v="10902"/>
    <s v="مصطفى"/>
    <d v="2026-01-28T00:00:00"/>
    <x v="7"/>
    <s v="تخزين"/>
    <x v="5"/>
    <x v="9"/>
    <n v="4"/>
    <n v="3200"/>
    <n v="0.1"/>
    <s v="محفظة إلكترونية"/>
    <x v="2"/>
    <s v="عميل 101"/>
    <n v="12800"/>
    <n v="11520"/>
  </r>
  <r>
    <n v="10903"/>
    <s v="كريم"/>
    <d v="2026-12-22T00:00:00"/>
    <x v="5"/>
    <s v="إكسسوارات"/>
    <x v="2"/>
    <x v="5"/>
    <n v="6"/>
    <n v="1200"/>
    <n v="0.03"/>
    <s v="محفظة إلكترونية"/>
    <x v="2"/>
    <s v="عميل 297"/>
    <n v="7200"/>
    <n v="6984"/>
  </r>
  <r>
    <n v="10904"/>
    <s v="محمود"/>
    <d v="2026-03-25T00:00:00"/>
    <x v="12"/>
    <s v="تخزين"/>
    <x v="3"/>
    <x v="24"/>
    <n v="5"/>
    <n v="5200"/>
    <n v="7.0000000000000007E-2"/>
    <s v="كاش"/>
    <x v="3"/>
    <s v="عميل 22"/>
    <n v="26000"/>
    <n v="24180"/>
  </r>
  <r>
    <n v="10905"/>
    <s v="مؤمن"/>
    <d v="2026-08-27T00:00:00"/>
    <x v="6"/>
    <s v="شاشات"/>
    <x v="2"/>
    <x v="5"/>
    <n v="4"/>
    <n v="9000"/>
    <n v="0.15"/>
    <s v="فيزا"/>
    <x v="1"/>
    <s v="عميل 247"/>
    <n v="36000"/>
    <n v="30600"/>
  </r>
  <r>
    <n v="10906"/>
    <s v="علي"/>
    <d v="2026-04-05T00:00:00"/>
    <x v="10"/>
    <s v="شبكات"/>
    <x v="3"/>
    <x v="24"/>
    <n v="7"/>
    <n v="2200"/>
    <n v="0.03"/>
    <s v="كاش"/>
    <x v="2"/>
    <s v="عميل 6"/>
    <n v="15400"/>
    <n v="14938"/>
  </r>
  <r>
    <n v="10907"/>
    <s v="يوسف"/>
    <d v="2026-05-29T00:00:00"/>
    <x v="13"/>
    <s v="أجهزة كمبيوتر"/>
    <x v="3"/>
    <x v="4"/>
    <n v="9"/>
    <n v="28000"/>
    <n v="0"/>
    <s v="محفظة إلكترونية"/>
    <x v="1"/>
    <s v="عميل 300"/>
    <n v="252000"/>
    <n v="252000"/>
  </r>
  <r>
    <n v="10908"/>
    <s v="مؤمن"/>
    <d v="2026-05-26T00:00:00"/>
    <x v="11"/>
    <s v="طابعات"/>
    <x v="3"/>
    <x v="4"/>
    <n v="1"/>
    <n v="6500"/>
    <n v="0.03"/>
    <s v="فيزا"/>
    <x v="1"/>
    <s v="عميل 135"/>
    <n v="6500"/>
    <n v="6305"/>
  </r>
  <r>
    <n v="10909"/>
    <s v="يوسف"/>
    <d v="2026-04-11T00:00:00"/>
    <x v="10"/>
    <s v="شبكات"/>
    <x v="5"/>
    <x v="21"/>
    <n v="9"/>
    <n v="2200"/>
    <n v="0.03"/>
    <s v="كاش"/>
    <x v="1"/>
    <s v="عميل 135"/>
    <n v="19800"/>
    <n v="19206"/>
  </r>
  <r>
    <n v="10910"/>
    <s v="محمد"/>
    <d v="2026-06-23T00:00:00"/>
    <x v="11"/>
    <s v="طابعات"/>
    <x v="0"/>
    <x v="0"/>
    <n v="3"/>
    <n v="6500"/>
    <n v="7.0000000000000007E-2"/>
    <s v="فيزا"/>
    <x v="2"/>
    <s v="عميل 234"/>
    <n v="19500"/>
    <n v="18135"/>
  </r>
  <r>
    <n v="10911"/>
    <s v="حسن"/>
    <d v="2026-08-11T00:00:00"/>
    <x v="5"/>
    <s v="إكسسوارات"/>
    <x v="3"/>
    <x v="17"/>
    <n v="3"/>
    <n v="1200"/>
    <n v="0.1"/>
    <s v="كاش"/>
    <x v="0"/>
    <s v="عميل 74"/>
    <n v="3600"/>
    <n v="3240"/>
  </r>
  <r>
    <n v="10912"/>
    <s v="علي"/>
    <d v="2026-12-22T00:00:00"/>
    <x v="11"/>
    <s v="طابعات"/>
    <x v="5"/>
    <x v="25"/>
    <n v="4"/>
    <n v="6500"/>
    <n v="0.1"/>
    <s v="تحويل بنكي"/>
    <x v="2"/>
    <s v="عميل 220"/>
    <n v="26000"/>
    <n v="23400"/>
  </r>
  <r>
    <n v="10913"/>
    <s v="مؤمن"/>
    <d v="2026-10-02T00:00:00"/>
    <x v="0"/>
    <s v="تخزين"/>
    <x v="2"/>
    <x v="5"/>
    <n v="10"/>
    <n v="650"/>
    <n v="0.1"/>
    <s v="تحويل بنكي"/>
    <x v="1"/>
    <s v="عميل 168"/>
    <n v="6500"/>
    <n v="5850"/>
  </r>
  <r>
    <n v="10914"/>
    <s v="حسن"/>
    <d v="2026-09-08T00:00:00"/>
    <x v="5"/>
    <s v="إكسسوارات"/>
    <x v="1"/>
    <x v="6"/>
    <n v="3"/>
    <n v="1200"/>
    <n v="0.1"/>
    <s v="فيزا"/>
    <x v="0"/>
    <s v="عميل 241"/>
    <n v="3600"/>
    <n v="3240"/>
  </r>
  <r>
    <n v="10915"/>
    <s v="مصطفى"/>
    <d v="2026-07-11T00:00:00"/>
    <x v="4"/>
    <s v="شبكات"/>
    <x v="0"/>
    <x v="16"/>
    <n v="9"/>
    <n v="150"/>
    <n v="7.0000000000000007E-2"/>
    <s v="محفظة إلكترونية"/>
    <x v="3"/>
    <s v="عميل 92"/>
    <n v="1350"/>
    <n v="1255.5"/>
  </r>
  <r>
    <n v="10916"/>
    <s v="كريم"/>
    <d v="2026-08-31T00:00:00"/>
    <x v="9"/>
    <s v="إكسسوارات"/>
    <x v="3"/>
    <x v="24"/>
    <n v="8"/>
    <n v="1800"/>
    <n v="0.15"/>
    <s v="تحويل بنكي"/>
    <x v="3"/>
    <s v="عميل 299"/>
    <n v="14400"/>
    <n v="12240"/>
  </r>
  <r>
    <n v="10917"/>
    <s v="كريم"/>
    <d v="2026-05-01T00:00:00"/>
    <x v="0"/>
    <s v="تخزين"/>
    <x v="1"/>
    <x v="10"/>
    <n v="4"/>
    <n v="650"/>
    <n v="0.03"/>
    <s v="محفظة إلكترونية"/>
    <x v="1"/>
    <s v="عميل 157"/>
    <n v="2600"/>
    <n v="2522"/>
  </r>
  <r>
    <n v="10918"/>
    <s v="عمر"/>
    <d v="2026-10-09T00:00:00"/>
    <x v="2"/>
    <s v="شاشات"/>
    <x v="6"/>
    <x v="22"/>
    <n v="3"/>
    <n v="7500"/>
    <n v="0.05"/>
    <s v="كاش"/>
    <x v="1"/>
    <s v="عميل 44"/>
    <n v="22500"/>
    <n v="21375"/>
  </r>
  <r>
    <n v="10919"/>
    <s v="حسن"/>
    <d v="2026-01-22T00:00:00"/>
    <x v="14"/>
    <s v="إكسسوارات"/>
    <x v="4"/>
    <x v="11"/>
    <n v="6"/>
    <n v="450"/>
    <n v="0.03"/>
    <s v="محفظة إلكترونية"/>
    <x v="2"/>
    <s v="عميل 219"/>
    <n v="2700"/>
    <n v="2619"/>
  </r>
  <r>
    <n v="10920"/>
    <s v="كريم"/>
    <d v="2026-06-12T00:00:00"/>
    <x v="6"/>
    <s v="شاشات"/>
    <x v="4"/>
    <x v="20"/>
    <n v="7"/>
    <n v="9000"/>
    <n v="0.05"/>
    <s v="تحويل بنكي"/>
    <x v="3"/>
    <s v="عميل 13"/>
    <n v="63000"/>
    <n v="59850"/>
  </r>
  <r>
    <n v="10921"/>
    <s v="محمد"/>
    <d v="2026-07-03T00:00:00"/>
    <x v="3"/>
    <s v="أجهزة كمبيوتر"/>
    <x v="4"/>
    <x v="7"/>
    <n v="5"/>
    <n v="32000"/>
    <n v="0.15"/>
    <s v="كاش"/>
    <x v="2"/>
    <s v="عميل 257"/>
    <n v="160000"/>
    <n v="136000"/>
  </r>
  <r>
    <n v="10922"/>
    <s v="محمد"/>
    <d v="2026-02-06T00:00:00"/>
    <x v="7"/>
    <s v="تخزين"/>
    <x v="0"/>
    <x v="13"/>
    <n v="4"/>
    <n v="3200"/>
    <n v="0"/>
    <s v="تحويل بنكي"/>
    <x v="0"/>
    <s v="عميل 280"/>
    <n v="12800"/>
    <n v="12800"/>
  </r>
  <r>
    <n v="10923"/>
    <s v="عمر"/>
    <d v="2026-12-16T00:00:00"/>
    <x v="5"/>
    <s v="إكسسوارات"/>
    <x v="3"/>
    <x v="4"/>
    <n v="6"/>
    <n v="1200"/>
    <n v="0.05"/>
    <s v="تحويل بنكي"/>
    <x v="1"/>
    <s v="عميل 71"/>
    <n v="7200"/>
    <n v="6840"/>
  </r>
  <r>
    <n v="10924"/>
    <s v="محمود"/>
    <d v="2026-07-26T00:00:00"/>
    <x v="8"/>
    <s v="إكسسوارات"/>
    <x v="7"/>
    <x v="18"/>
    <n v="5"/>
    <n v="1400"/>
    <n v="0.05"/>
    <s v="محفظة إلكترونية"/>
    <x v="0"/>
    <s v="عميل 242"/>
    <n v="7000"/>
    <n v="6650"/>
  </r>
  <r>
    <n v="10925"/>
    <s v="مؤمن"/>
    <d v="2026-08-31T00:00:00"/>
    <x v="0"/>
    <s v="تخزين"/>
    <x v="5"/>
    <x v="8"/>
    <n v="4"/>
    <n v="650"/>
    <n v="0.03"/>
    <s v="فيزا"/>
    <x v="3"/>
    <s v="عميل 237"/>
    <n v="2600"/>
    <n v="2522"/>
  </r>
  <r>
    <n v="10926"/>
    <s v="علي"/>
    <d v="2026-04-18T00:00:00"/>
    <x v="9"/>
    <s v="إكسسوارات"/>
    <x v="0"/>
    <x v="13"/>
    <n v="4"/>
    <n v="1800"/>
    <n v="7.0000000000000007E-2"/>
    <s v="محفظة إلكترونية"/>
    <x v="3"/>
    <s v="عميل 286"/>
    <n v="7200"/>
    <n v="6696"/>
  </r>
  <r>
    <n v="10927"/>
    <s v="عمر"/>
    <d v="2026-01-05T00:00:00"/>
    <x v="1"/>
    <s v="أجهزة كمبيوتر"/>
    <x v="3"/>
    <x v="4"/>
    <n v="10"/>
    <n v="25000"/>
    <n v="0.03"/>
    <s v="محفظة إلكترونية"/>
    <x v="2"/>
    <s v="عميل 174"/>
    <n v="250000"/>
    <n v="242500"/>
  </r>
  <r>
    <n v="10928"/>
    <s v="مصطفى"/>
    <d v="2026-06-03T00:00:00"/>
    <x v="5"/>
    <s v="إكسسوارات"/>
    <x v="6"/>
    <x v="14"/>
    <n v="7"/>
    <n v="1200"/>
    <n v="0.15"/>
    <s v="تحويل بنكي"/>
    <x v="0"/>
    <s v="عميل 291"/>
    <n v="8400"/>
    <n v="7140"/>
  </r>
  <r>
    <n v="10929"/>
    <s v="حسن"/>
    <d v="2026-11-19T00:00:00"/>
    <x v="4"/>
    <s v="شبكات"/>
    <x v="1"/>
    <x v="10"/>
    <n v="3"/>
    <n v="150"/>
    <n v="0.05"/>
    <s v="محفظة إلكترونية"/>
    <x v="3"/>
    <s v="عميل 105"/>
    <n v="450"/>
    <n v="427.5"/>
  </r>
  <r>
    <n v="10930"/>
    <s v="محمد"/>
    <d v="2026-06-18T00:00:00"/>
    <x v="2"/>
    <s v="شاشات"/>
    <x v="0"/>
    <x v="26"/>
    <n v="4"/>
    <n v="7500"/>
    <n v="7.0000000000000007E-2"/>
    <s v="محفظة إلكترونية"/>
    <x v="2"/>
    <s v="عميل 48"/>
    <n v="30000"/>
    <n v="27899.999999999996"/>
  </r>
  <r>
    <n v="10931"/>
    <s v="حسن"/>
    <d v="2026-09-08T00:00:00"/>
    <x v="3"/>
    <s v="أجهزة كمبيوتر"/>
    <x v="0"/>
    <x v="16"/>
    <n v="1"/>
    <n v="32000"/>
    <n v="0.15"/>
    <s v="كاش"/>
    <x v="1"/>
    <s v="عميل 102"/>
    <n v="32000"/>
    <n v="27200"/>
  </r>
  <r>
    <n v="10932"/>
    <s v="عمر"/>
    <d v="2026-12-04T00:00:00"/>
    <x v="13"/>
    <s v="أجهزة كمبيوتر"/>
    <x v="6"/>
    <x v="14"/>
    <n v="4"/>
    <n v="28000"/>
    <n v="0.03"/>
    <s v="كاش"/>
    <x v="3"/>
    <s v="عميل 30"/>
    <n v="112000"/>
    <n v="108640"/>
  </r>
  <r>
    <n v="10933"/>
    <s v="علي"/>
    <d v="2026-03-22T00:00:00"/>
    <x v="9"/>
    <s v="إكسسوارات"/>
    <x v="1"/>
    <x v="10"/>
    <n v="6"/>
    <n v="1800"/>
    <n v="7.0000000000000007E-2"/>
    <s v="كاش"/>
    <x v="1"/>
    <s v="عميل 275"/>
    <n v="10800"/>
    <n v="10044"/>
  </r>
  <r>
    <n v="10934"/>
    <s v="مؤمن"/>
    <d v="2026-03-08T00:00:00"/>
    <x v="2"/>
    <s v="شاشات"/>
    <x v="4"/>
    <x v="11"/>
    <n v="2"/>
    <n v="7500"/>
    <n v="7.0000000000000007E-2"/>
    <s v="فيزا"/>
    <x v="2"/>
    <s v="عميل 222"/>
    <n v="15000"/>
    <n v="13949.999999999998"/>
  </r>
  <r>
    <n v="10935"/>
    <s v="عمر"/>
    <d v="2026-10-28T00:00:00"/>
    <x v="8"/>
    <s v="إكسسوارات"/>
    <x v="4"/>
    <x v="7"/>
    <n v="10"/>
    <n v="1400"/>
    <n v="0.1"/>
    <s v="فيزا"/>
    <x v="3"/>
    <s v="عميل 142"/>
    <n v="14000"/>
    <n v="12600"/>
  </r>
  <r>
    <n v="10936"/>
    <s v="علي"/>
    <d v="2026-11-06T00:00:00"/>
    <x v="5"/>
    <s v="إكسسوارات"/>
    <x v="1"/>
    <x v="10"/>
    <n v="8"/>
    <n v="1200"/>
    <n v="0"/>
    <s v="فيزا"/>
    <x v="2"/>
    <s v="عميل 292"/>
    <n v="9600"/>
    <n v="9600"/>
  </r>
  <r>
    <n v="10937"/>
    <s v="أحمد"/>
    <d v="2026-02-16T00:00:00"/>
    <x v="11"/>
    <s v="طابعات"/>
    <x v="4"/>
    <x v="20"/>
    <n v="8"/>
    <n v="6500"/>
    <n v="0.1"/>
    <s v="تحويل بنكي"/>
    <x v="3"/>
    <s v="عميل 178"/>
    <n v="52000"/>
    <n v="46800"/>
  </r>
  <r>
    <n v="10938"/>
    <s v="علي"/>
    <d v="2026-05-08T00:00:00"/>
    <x v="10"/>
    <s v="شبكات"/>
    <x v="7"/>
    <x v="15"/>
    <n v="10"/>
    <n v="2200"/>
    <n v="0.03"/>
    <s v="فيزا"/>
    <x v="3"/>
    <s v="عميل 235"/>
    <n v="22000"/>
    <n v="21340"/>
  </r>
  <r>
    <n v="10939"/>
    <s v="أحمد"/>
    <d v="2026-05-03T00:00:00"/>
    <x v="2"/>
    <s v="شاشات"/>
    <x v="5"/>
    <x v="9"/>
    <n v="7"/>
    <n v="7500"/>
    <n v="0.15"/>
    <s v="فيزا"/>
    <x v="2"/>
    <s v="عميل 276"/>
    <n v="52500"/>
    <n v="44625"/>
  </r>
  <r>
    <n v="10940"/>
    <s v="مصطفى"/>
    <d v="2026-03-04T00:00:00"/>
    <x v="14"/>
    <s v="إكسسوارات"/>
    <x v="0"/>
    <x v="16"/>
    <n v="8"/>
    <n v="450"/>
    <n v="7.0000000000000007E-2"/>
    <s v="تحويل بنكي"/>
    <x v="0"/>
    <s v="عميل 54"/>
    <n v="3600"/>
    <n v="3348"/>
  </r>
  <r>
    <n v="10941"/>
    <s v="عمر"/>
    <d v="2026-04-17T00:00:00"/>
    <x v="7"/>
    <s v="تخزين"/>
    <x v="3"/>
    <x v="17"/>
    <n v="8"/>
    <n v="3200"/>
    <n v="0.03"/>
    <s v="كاش"/>
    <x v="3"/>
    <s v="عميل 14"/>
    <n v="25600"/>
    <n v="24832"/>
  </r>
  <r>
    <n v="10942"/>
    <s v="علي"/>
    <d v="2026-04-10T00:00:00"/>
    <x v="13"/>
    <s v="أجهزة كمبيوتر"/>
    <x v="4"/>
    <x v="20"/>
    <n v="6"/>
    <n v="28000"/>
    <n v="0.15"/>
    <s v="محفظة إلكترونية"/>
    <x v="0"/>
    <s v="عميل 6"/>
    <n v="168000"/>
    <n v="142800"/>
  </r>
  <r>
    <n v="10943"/>
    <s v="كريم"/>
    <d v="2026-09-06T00:00:00"/>
    <x v="14"/>
    <s v="إكسسوارات"/>
    <x v="0"/>
    <x v="16"/>
    <n v="6"/>
    <n v="450"/>
    <n v="0.15"/>
    <s v="محفظة إلكترونية"/>
    <x v="0"/>
    <s v="عميل 43"/>
    <n v="2700"/>
    <n v="2295"/>
  </r>
  <r>
    <n v="10944"/>
    <s v="كريم"/>
    <d v="2026-05-23T00:00:00"/>
    <x v="7"/>
    <s v="تخزين"/>
    <x v="2"/>
    <x v="12"/>
    <n v="8"/>
    <n v="3200"/>
    <n v="0.03"/>
    <s v="فيزا"/>
    <x v="1"/>
    <s v="عميل 10"/>
    <n v="25600"/>
    <n v="24832"/>
  </r>
  <r>
    <n v="10945"/>
    <s v="مصطفى"/>
    <d v="2026-07-20T00:00:00"/>
    <x v="12"/>
    <s v="تخزين"/>
    <x v="0"/>
    <x v="16"/>
    <n v="5"/>
    <n v="5200"/>
    <n v="0"/>
    <s v="فيزا"/>
    <x v="0"/>
    <s v="عميل 6"/>
    <n v="26000"/>
    <n v="26000"/>
  </r>
  <r>
    <n v="10946"/>
    <s v="يوسف"/>
    <d v="2026-04-21T00:00:00"/>
    <x v="0"/>
    <s v="تخزين"/>
    <x v="7"/>
    <x v="18"/>
    <n v="8"/>
    <n v="650"/>
    <n v="0.05"/>
    <s v="كاش"/>
    <x v="1"/>
    <s v="عميل 227"/>
    <n v="5200"/>
    <n v="4940"/>
  </r>
  <r>
    <n v="10947"/>
    <s v="عمر"/>
    <d v="2026-08-16T00:00:00"/>
    <x v="10"/>
    <s v="شبكات"/>
    <x v="1"/>
    <x v="1"/>
    <n v="7"/>
    <n v="2200"/>
    <n v="0.15"/>
    <s v="كاش"/>
    <x v="0"/>
    <s v="عميل 25"/>
    <n v="15400"/>
    <n v="13090"/>
  </r>
  <r>
    <n v="10948"/>
    <s v="مؤمن"/>
    <d v="2026-04-13T00:00:00"/>
    <x v="4"/>
    <s v="شبكات"/>
    <x v="6"/>
    <x v="23"/>
    <n v="4"/>
    <n v="150"/>
    <n v="0.05"/>
    <s v="كاش"/>
    <x v="0"/>
    <s v="عميل 216"/>
    <n v="600"/>
    <n v="570"/>
  </r>
  <r>
    <n v="10949"/>
    <s v="محمد"/>
    <d v="2026-04-23T00:00:00"/>
    <x v="1"/>
    <s v="أجهزة كمبيوتر"/>
    <x v="1"/>
    <x v="6"/>
    <n v="4"/>
    <n v="25000"/>
    <n v="0.15"/>
    <s v="كاش"/>
    <x v="1"/>
    <s v="عميل 86"/>
    <n v="100000"/>
    <n v="85000"/>
  </r>
  <r>
    <n v="10950"/>
    <s v="محمود"/>
    <d v="2026-10-15T00:00:00"/>
    <x v="1"/>
    <s v="أجهزة كمبيوتر"/>
    <x v="6"/>
    <x v="22"/>
    <n v="2"/>
    <n v="25000"/>
    <n v="0.05"/>
    <s v="فيزا"/>
    <x v="1"/>
    <s v="عميل 278"/>
    <n v="50000"/>
    <n v="47500"/>
  </r>
  <r>
    <n v="10951"/>
    <s v="محمد"/>
    <d v="2026-07-02T00:00:00"/>
    <x v="2"/>
    <s v="شاشات"/>
    <x v="6"/>
    <x v="23"/>
    <n v="4"/>
    <n v="7500"/>
    <n v="0.03"/>
    <s v="تحويل بنكي"/>
    <x v="1"/>
    <s v="عميل 8"/>
    <n v="30000"/>
    <n v="29100"/>
  </r>
  <r>
    <n v="10952"/>
    <s v="كريم"/>
    <d v="2026-04-23T00:00:00"/>
    <x v="2"/>
    <s v="شاشات"/>
    <x v="3"/>
    <x v="4"/>
    <n v="7"/>
    <n v="7500"/>
    <n v="0.03"/>
    <s v="كاش"/>
    <x v="2"/>
    <s v="عميل 189"/>
    <n v="52500"/>
    <n v="50925"/>
  </r>
  <r>
    <n v="10953"/>
    <s v="حسن"/>
    <d v="2026-09-13T00:00:00"/>
    <x v="1"/>
    <s v="أجهزة كمبيوتر"/>
    <x v="0"/>
    <x v="16"/>
    <n v="7"/>
    <n v="25000"/>
    <n v="0.05"/>
    <s v="كاش"/>
    <x v="1"/>
    <s v="عميل 129"/>
    <n v="175000"/>
    <n v="166250"/>
  </r>
  <r>
    <n v="10954"/>
    <s v="يوسف"/>
    <d v="2026-06-20T00:00:00"/>
    <x v="13"/>
    <s v="أجهزة كمبيوتر"/>
    <x v="3"/>
    <x v="24"/>
    <n v="7"/>
    <n v="28000"/>
    <n v="0.15"/>
    <s v="فيزا"/>
    <x v="2"/>
    <s v="عميل 247"/>
    <n v="196000"/>
    <n v="166600"/>
  </r>
  <r>
    <n v="10955"/>
    <s v="كريم"/>
    <d v="2026-07-15T00:00:00"/>
    <x v="13"/>
    <s v="أجهزة كمبيوتر"/>
    <x v="3"/>
    <x v="4"/>
    <n v="10"/>
    <n v="28000"/>
    <n v="0.1"/>
    <s v="فيزا"/>
    <x v="0"/>
    <s v="عميل 120"/>
    <n v="280000"/>
    <n v="252000"/>
  </r>
  <r>
    <n v="10956"/>
    <s v="علي"/>
    <d v="2026-05-05T00:00:00"/>
    <x v="1"/>
    <s v="أجهزة كمبيوتر"/>
    <x v="0"/>
    <x v="13"/>
    <n v="4"/>
    <n v="25000"/>
    <n v="0.15"/>
    <s v="كاش"/>
    <x v="0"/>
    <s v="عميل 71"/>
    <n v="100000"/>
    <n v="85000"/>
  </r>
  <r>
    <n v="10957"/>
    <s v="علي"/>
    <d v="2026-04-15T00:00:00"/>
    <x v="9"/>
    <s v="إكسسوارات"/>
    <x v="4"/>
    <x v="20"/>
    <n v="4"/>
    <n v="1800"/>
    <n v="0.03"/>
    <s v="كاش"/>
    <x v="1"/>
    <s v="عميل 228"/>
    <n v="7200"/>
    <n v="6984"/>
  </r>
  <r>
    <n v="10958"/>
    <s v="أحمد"/>
    <d v="2026-09-24T00:00:00"/>
    <x v="10"/>
    <s v="شبكات"/>
    <x v="3"/>
    <x v="4"/>
    <n v="5"/>
    <n v="2200"/>
    <n v="0.05"/>
    <s v="محفظة إلكترونية"/>
    <x v="2"/>
    <s v="عميل 13"/>
    <n v="11000"/>
    <n v="10450"/>
  </r>
  <r>
    <n v="10959"/>
    <s v="مصطفى"/>
    <d v="2026-01-28T00:00:00"/>
    <x v="5"/>
    <s v="إكسسوارات"/>
    <x v="3"/>
    <x v="17"/>
    <n v="4"/>
    <n v="1200"/>
    <n v="0.03"/>
    <s v="فيزا"/>
    <x v="1"/>
    <s v="عميل 196"/>
    <n v="4800"/>
    <n v="4656"/>
  </r>
  <r>
    <n v="10960"/>
    <s v="أحمد"/>
    <d v="2026-02-03T00:00:00"/>
    <x v="7"/>
    <s v="تخزين"/>
    <x v="3"/>
    <x v="4"/>
    <n v="8"/>
    <n v="3200"/>
    <n v="0.15"/>
    <s v="محفظة إلكترونية"/>
    <x v="0"/>
    <s v="عميل 99"/>
    <n v="25600"/>
    <n v="21760"/>
  </r>
  <r>
    <n v="10961"/>
    <s v="يوسف"/>
    <d v="2026-10-31T00:00:00"/>
    <x v="1"/>
    <s v="أجهزة كمبيوتر"/>
    <x v="5"/>
    <x v="25"/>
    <n v="3"/>
    <n v="25000"/>
    <n v="0"/>
    <s v="فيزا"/>
    <x v="1"/>
    <s v="عميل 260"/>
    <n v="75000"/>
    <n v="75000"/>
  </r>
  <r>
    <n v="10962"/>
    <s v="يوسف"/>
    <d v="2026-04-12T00:00:00"/>
    <x v="13"/>
    <s v="أجهزة كمبيوتر"/>
    <x v="6"/>
    <x v="22"/>
    <n v="8"/>
    <n v="28000"/>
    <n v="0.05"/>
    <s v="فيزا"/>
    <x v="3"/>
    <s v="عميل 91"/>
    <n v="224000"/>
    <n v="212800"/>
  </r>
  <r>
    <n v="10963"/>
    <s v="كريم"/>
    <d v="2026-11-22T00:00:00"/>
    <x v="12"/>
    <s v="تخزين"/>
    <x v="2"/>
    <x v="2"/>
    <n v="5"/>
    <n v="5200"/>
    <n v="0.1"/>
    <s v="فيزا"/>
    <x v="2"/>
    <s v="عميل 247"/>
    <n v="26000"/>
    <n v="23400"/>
  </r>
  <r>
    <n v="10964"/>
    <s v="كريم"/>
    <d v="2026-08-14T00:00:00"/>
    <x v="13"/>
    <s v="أجهزة كمبيوتر"/>
    <x v="3"/>
    <x v="17"/>
    <n v="7"/>
    <n v="28000"/>
    <n v="0.03"/>
    <s v="محفظة إلكترونية"/>
    <x v="3"/>
    <s v="عميل 80"/>
    <n v="196000"/>
    <n v="190120"/>
  </r>
  <r>
    <n v="10965"/>
    <s v="محمد"/>
    <d v="2026-06-03T00:00:00"/>
    <x v="8"/>
    <s v="إكسسوارات"/>
    <x v="4"/>
    <x v="7"/>
    <n v="7"/>
    <n v="1400"/>
    <n v="7.0000000000000007E-2"/>
    <s v="فيزا"/>
    <x v="1"/>
    <s v="عميل 132"/>
    <n v="9800"/>
    <n v="9114"/>
  </r>
  <r>
    <n v="10966"/>
    <s v="علي"/>
    <d v="2026-10-15T00:00:00"/>
    <x v="2"/>
    <s v="شاشات"/>
    <x v="4"/>
    <x v="20"/>
    <n v="8"/>
    <n v="7500"/>
    <n v="0.05"/>
    <s v="محفظة إلكترونية"/>
    <x v="0"/>
    <s v="عميل 171"/>
    <n v="60000"/>
    <n v="57000"/>
  </r>
  <r>
    <n v="10967"/>
    <s v="أحمد"/>
    <d v="2026-01-07T00:00:00"/>
    <x v="3"/>
    <s v="أجهزة كمبيوتر"/>
    <x v="4"/>
    <x v="7"/>
    <n v="3"/>
    <n v="32000"/>
    <n v="0.03"/>
    <s v="تحويل بنكي"/>
    <x v="3"/>
    <s v="عميل 208"/>
    <n v="96000"/>
    <n v="93120"/>
  </r>
  <r>
    <n v="10968"/>
    <s v="كريم"/>
    <d v="2026-06-07T00:00:00"/>
    <x v="11"/>
    <s v="طابعات"/>
    <x v="6"/>
    <x v="14"/>
    <n v="6"/>
    <n v="6500"/>
    <n v="7.0000000000000007E-2"/>
    <s v="كاش"/>
    <x v="3"/>
    <s v="عميل 20"/>
    <n v="39000"/>
    <n v="36270"/>
  </r>
  <r>
    <n v="10969"/>
    <s v="مؤمن"/>
    <d v="2026-08-12T00:00:00"/>
    <x v="11"/>
    <s v="طابعات"/>
    <x v="0"/>
    <x v="26"/>
    <n v="10"/>
    <n v="6500"/>
    <n v="0.03"/>
    <s v="تحويل بنكي"/>
    <x v="2"/>
    <s v="عميل 261"/>
    <n v="65000"/>
    <n v="63050"/>
  </r>
  <r>
    <n v="10970"/>
    <s v="أحمد"/>
    <d v="2026-11-30T00:00:00"/>
    <x v="10"/>
    <s v="شبكات"/>
    <x v="4"/>
    <x v="11"/>
    <n v="6"/>
    <n v="2200"/>
    <n v="0.15"/>
    <s v="محفظة إلكترونية"/>
    <x v="3"/>
    <s v="عميل 127"/>
    <n v="13200"/>
    <n v="11220"/>
  </r>
  <r>
    <n v="10971"/>
    <s v="أحمد"/>
    <d v="2026-12-24T00:00:00"/>
    <x v="5"/>
    <s v="إكسسوارات"/>
    <x v="4"/>
    <x v="7"/>
    <n v="6"/>
    <n v="1200"/>
    <n v="0.15"/>
    <s v="فيزا"/>
    <x v="2"/>
    <s v="عميل 234"/>
    <n v="7200"/>
    <n v="6120"/>
  </r>
  <r>
    <n v="10972"/>
    <s v="حسن"/>
    <d v="2026-12-06T00:00:00"/>
    <x v="0"/>
    <s v="تخزين"/>
    <x v="5"/>
    <x v="21"/>
    <n v="4"/>
    <n v="650"/>
    <n v="0.1"/>
    <s v="فيزا"/>
    <x v="0"/>
    <s v="عميل 60"/>
    <n v="2600"/>
    <n v="2340"/>
  </r>
  <r>
    <n v="10973"/>
    <s v="حسن"/>
    <d v="2026-02-11T00:00:00"/>
    <x v="4"/>
    <s v="شبكات"/>
    <x v="0"/>
    <x v="26"/>
    <n v="7"/>
    <n v="150"/>
    <n v="0.15"/>
    <s v="فيزا"/>
    <x v="3"/>
    <s v="عميل 85"/>
    <n v="1050"/>
    <n v="892.5"/>
  </r>
  <r>
    <n v="10974"/>
    <s v="مصطفى"/>
    <d v="2026-12-04T00:00:00"/>
    <x v="8"/>
    <s v="إكسسوارات"/>
    <x v="6"/>
    <x v="14"/>
    <n v="5"/>
    <n v="1400"/>
    <n v="0.1"/>
    <s v="محفظة إلكترونية"/>
    <x v="2"/>
    <s v="عميل 211"/>
    <n v="7000"/>
    <n v="6300"/>
  </r>
  <r>
    <n v="10975"/>
    <s v="يوسف"/>
    <d v="2026-05-18T00:00:00"/>
    <x v="4"/>
    <s v="شبكات"/>
    <x v="0"/>
    <x v="0"/>
    <n v="10"/>
    <n v="150"/>
    <n v="0.05"/>
    <s v="فيزا"/>
    <x v="3"/>
    <s v="عميل 158"/>
    <n v="1500"/>
    <n v="1425"/>
  </r>
  <r>
    <n v="10976"/>
    <s v="محمد"/>
    <d v="2026-12-23T00:00:00"/>
    <x v="1"/>
    <s v="أجهزة كمبيوتر"/>
    <x v="5"/>
    <x v="8"/>
    <n v="1"/>
    <n v="25000"/>
    <n v="0"/>
    <s v="محفظة إلكترونية"/>
    <x v="3"/>
    <s v="عميل 148"/>
    <n v="25000"/>
    <n v="25000"/>
  </r>
  <r>
    <n v="10977"/>
    <s v="يوسف"/>
    <d v="2026-12-27T00:00:00"/>
    <x v="10"/>
    <s v="شبكات"/>
    <x v="6"/>
    <x v="23"/>
    <n v="3"/>
    <n v="2200"/>
    <n v="0.05"/>
    <s v="فيزا"/>
    <x v="1"/>
    <s v="عميل 250"/>
    <n v="6600"/>
    <n v="6270"/>
  </r>
  <r>
    <n v="10978"/>
    <s v="يوسف"/>
    <d v="2026-04-13T00:00:00"/>
    <x v="3"/>
    <s v="أجهزة كمبيوتر"/>
    <x v="0"/>
    <x v="26"/>
    <n v="10"/>
    <n v="32000"/>
    <n v="0.03"/>
    <s v="كاش"/>
    <x v="1"/>
    <s v="عميل 99"/>
    <n v="320000"/>
    <n v="310400"/>
  </r>
  <r>
    <n v="10979"/>
    <s v="يوسف"/>
    <d v="2026-02-10T00:00:00"/>
    <x v="14"/>
    <s v="إكسسوارات"/>
    <x v="6"/>
    <x v="14"/>
    <n v="10"/>
    <n v="450"/>
    <n v="0"/>
    <s v="تحويل بنكي"/>
    <x v="0"/>
    <s v="عميل 194"/>
    <n v="4500"/>
    <n v="4500"/>
  </r>
  <r>
    <n v="10980"/>
    <s v="حسن"/>
    <d v="2026-05-01T00:00:00"/>
    <x v="13"/>
    <s v="أجهزة كمبيوتر"/>
    <x v="7"/>
    <x v="18"/>
    <n v="6"/>
    <n v="28000"/>
    <n v="0"/>
    <s v="محفظة إلكترونية"/>
    <x v="3"/>
    <s v="عميل 52"/>
    <n v="168000"/>
    <n v="168000"/>
  </r>
  <r>
    <n v="10981"/>
    <s v="حسن"/>
    <d v="2026-01-22T00:00:00"/>
    <x v="1"/>
    <s v="أجهزة كمبيوتر"/>
    <x v="1"/>
    <x v="6"/>
    <n v="1"/>
    <n v="25000"/>
    <n v="0.15"/>
    <s v="كاش"/>
    <x v="1"/>
    <s v="عميل 268"/>
    <n v="25000"/>
    <n v="21250"/>
  </r>
  <r>
    <n v="10982"/>
    <s v="عمر"/>
    <d v="2026-09-06T00:00:00"/>
    <x v="4"/>
    <s v="شبكات"/>
    <x v="1"/>
    <x v="3"/>
    <n v="10"/>
    <n v="150"/>
    <n v="0.1"/>
    <s v="محفظة إلكترونية"/>
    <x v="2"/>
    <s v="عميل 220"/>
    <n v="1500"/>
    <n v="1350"/>
  </r>
  <r>
    <n v="10983"/>
    <s v="مؤمن"/>
    <d v="2026-07-04T00:00:00"/>
    <x v="9"/>
    <s v="إكسسوارات"/>
    <x v="3"/>
    <x v="24"/>
    <n v="6"/>
    <n v="1800"/>
    <n v="0.05"/>
    <s v="محفظة إلكترونية"/>
    <x v="3"/>
    <s v="عميل 30"/>
    <n v="10800"/>
    <n v="10260"/>
  </r>
  <r>
    <n v="10984"/>
    <s v="علي"/>
    <d v="2026-03-13T00:00:00"/>
    <x v="9"/>
    <s v="إكسسوارات"/>
    <x v="3"/>
    <x v="4"/>
    <n v="1"/>
    <n v="1800"/>
    <n v="7.0000000000000007E-2"/>
    <s v="كاش"/>
    <x v="0"/>
    <s v="عميل 272"/>
    <n v="1800"/>
    <n v="1674"/>
  </r>
  <r>
    <n v="10985"/>
    <s v="كريم"/>
    <d v="2026-09-21T00:00:00"/>
    <x v="14"/>
    <s v="إكسسوارات"/>
    <x v="2"/>
    <x v="2"/>
    <n v="8"/>
    <n v="450"/>
    <n v="0.1"/>
    <s v="محفظة إلكترونية"/>
    <x v="1"/>
    <s v="عميل 2"/>
    <n v="3600"/>
    <n v="3240"/>
  </r>
  <r>
    <n v="10986"/>
    <s v="محمود"/>
    <d v="2026-12-14T00:00:00"/>
    <x v="0"/>
    <s v="تخزين"/>
    <x v="3"/>
    <x v="4"/>
    <n v="6"/>
    <n v="650"/>
    <n v="0"/>
    <s v="محفظة إلكترونية"/>
    <x v="1"/>
    <s v="عميل 249"/>
    <n v="3900"/>
    <n v="3900"/>
  </r>
  <r>
    <n v="10987"/>
    <s v="محمد"/>
    <d v="2026-07-17T00:00:00"/>
    <x v="2"/>
    <s v="شاشات"/>
    <x v="0"/>
    <x v="13"/>
    <n v="7"/>
    <n v="7500"/>
    <n v="7.0000000000000007E-2"/>
    <s v="تحويل بنكي"/>
    <x v="1"/>
    <s v="عميل 74"/>
    <n v="52500"/>
    <n v="48825"/>
  </r>
  <r>
    <n v="10988"/>
    <s v="عمر"/>
    <d v="2026-12-11T00:00:00"/>
    <x v="8"/>
    <s v="إكسسوارات"/>
    <x v="1"/>
    <x v="10"/>
    <n v="8"/>
    <n v="1400"/>
    <n v="0"/>
    <s v="محفظة إلكترونية"/>
    <x v="1"/>
    <s v="عميل 229"/>
    <n v="11200"/>
    <n v="11200"/>
  </r>
  <r>
    <n v="10989"/>
    <s v="مؤمن"/>
    <d v="2026-04-19T00:00:00"/>
    <x v="13"/>
    <s v="أجهزة كمبيوتر"/>
    <x v="4"/>
    <x v="11"/>
    <n v="9"/>
    <n v="28000"/>
    <n v="0.03"/>
    <s v="فيزا"/>
    <x v="0"/>
    <s v="عميل 55"/>
    <n v="252000"/>
    <n v="244440"/>
  </r>
  <r>
    <n v="10990"/>
    <s v="عمر"/>
    <d v="2026-04-23T00:00:00"/>
    <x v="2"/>
    <s v="شاشات"/>
    <x v="1"/>
    <x v="10"/>
    <n v="6"/>
    <n v="7500"/>
    <n v="7.0000000000000007E-2"/>
    <s v="تحويل بنكي"/>
    <x v="3"/>
    <s v="عميل 64"/>
    <n v="45000"/>
    <n v="41850"/>
  </r>
  <r>
    <n v="10991"/>
    <s v="محمود"/>
    <d v="2026-04-25T00:00:00"/>
    <x v="0"/>
    <s v="تخزين"/>
    <x v="5"/>
    <x v="8"/>
    <n v="2"/>
    <n v="650"/>
    <n v="0.15"/>
    <s v="كاش"/>
    <x v="2"/>
    <s v="عميل 194"/>
    <n v="1300"/>
    <n v="1105"/>
  </r>
  <r>
    <n v="10992"/>
    <s v="مؤمن"/>
    <d v="2026-04-25T00:00:00"/>
    <x v="11"/>
    <s v="طابعات"/>
    <x v="6"/>
    <x v="22"/>
    <n v="9"/>
    <n v="6500"/>
    <n v="7.0000000000000007E-2"/>
    <s v="تحويل بنكي"/>
    <x v="0"/>
    <s v="عميل 149"/>
    <n v="58500"/>
    <n v="54405"/>
  </r>
  <r>
    <n v="10993"/>
    <s v="حسن"/>
    <d v="2026-04-07T00:00:00"/>
    <x v="13"/>
    <s v="أجهزة كمبيوتر"/>
    <x v="0"/>
    <x v="0"/>
    <n v="6"/>
    <n v="28000"/>
    <n v="0.15"/>
    <s v="كاش"/>
    <x v="2"/>
    <s v="عميل 66"/>
    <n v="168000"/>
    <n v="142800"/>
  </r>
  <r>
    <n v="10994"/>
    <s v="أحمد"/>
    <d v="2026-06-09T00:00:00"/>
    <x v="8"/>
    <s v="إكسسوارات"/>
    <x v="3"/>
    <x v="17"/>
    <n v="10"/>
    <n v="1400"/>
    <n v="0.15"/>
    <s v="كاش"/>
    <x v="1"/>
    <s v="عميل 199"/>
    <n v="14000"/>
    <n v="11900"/>
  </r>
  <r>
    <n v="10995"/>
    <s v="حسن"/>
    <d v="2026-10-30T00:00:00"/>
    <x v="2"/>
    <s v="شاشات"/>
    <x v="3"/>
    <x v="17"/>
    <n v="3"/>
    <n v="7500"/>
    <n v="0.1"/>
    <s v="فيزا"/>
    <x v="0"/>
    <s v="عميل 203"/>
    <n v="22500"/>
    <n v="20250"/>
  </r>
  <r>
    <n v="10996"/>
    <s v="مؤمن"/>
    <d v="2026-09-13T00:00:00"/>
    <x v="1"/>
    <s v="أجهزة كمبيوتر"/>
    <x v="4"/>
    <x v="20"/>
    <n v="3"/>
    <n v="25000"/>
    <n v="0.05"/>
    <s v="محفظة إلكترونية"/>
    <x v="1"/>
    <s v="عميل 146"/>
    <n v="75000"/>
    <n v="71250"/>
  </r>
  <r>
    <n v="10997"/>
    <s v="محمد"/>
    <d v="2026-05-21T00:00:00"/>
    <x v="3"/>
    <s v="أجهزة كمبيوتر"/>
    <x v="1"/>
    <x v="6"/>
    <n v="5"/>
    <n v="32000"/>
    <n v="0.1"/>
    <s v="محفظة إلكترونية"/>
    <x v="1"/>
    <s v="عميل 254"/>
    <n v="160000"/>
    <n v="144000"/>
  </r>
  <r>
    <n v="10998"/>
    <s v="مؤمن"/>
    <d v="2026-04-26T00:00:00"/>
    <x v="14"/>
    <s v="إكسسوارات"/>
    <x v="6"/>
    <x v="23"/>
    <n v="6"/>
    <n v="450"/>
    <n v="0.03"/>
    <s v="كاش"/>
    <x v="1"/>
    <s v="عميل 250"/>
    <n v="2700"/>
    <n v="2619"/>
  </r>
  <r>
    <n v="10999"/>
    <s v="مصطفى"/>
    <d v="2026-07-20T00:00:00"/>
    <x v="10"/>
    <s v="شبكات"/>
    <x v="6"/>
    <x v="14"/>
    <n v="3"/>
    <n v="2200"/>
    <n v="0"/>
    <s v="تحويل بنكي"/>
    <x v="3"/>
    <s v="عميل 243"/>
    <n v="6600"/>
    <n v="6600"/>
  </r>
  <r>
    <n v="11000"/>
    <s v="عمر"/>
    <d v="2026-05-25T00:00:00"/>
    <x v="9"/>
    <s v="إكسسوارات"/>
    <x v="6"/>
    <x v="14"/>
    <n v="2"/>
    <n v="1800"/>
    <n v="0.1"/>
    <s v="فيزا"/>
    <x v="3"/>
    <s v="عميل 50"/>
    <n v="3600"/>
    <n v="32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8CBA92-F413-4459-90AB-14B2740ADDB2}" name="PivotTable4"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K3:L10" firstHeaderRow="1" firstDataRow="1" firstDataCol="1" rowPageCount="1" colPageCount="1"/>
  <pivotFields count="14">
    <pivotField showAll="0"/>
    <pivotField showAll="0"/>
    <pivotField numFmtId="164" showAll="0"/>
    <pivotField showAll="0"/>
    <pivotField axis="axisRow" showAll="0" sortType="ascending">
      <items count="7">
        <item x="1"/>
        <item x="4"/>
        <item x="0"/>
        <item x="2"/>
        <item x="3"/>
        <item x="5"/>
        <item t="default"/>
      </items>
    </pivotField>
    <pivotField showAll="0">
      <items count="9">
        <item x="5"/>
        <item x="4"/>
        <item x="0"/>
        <item x="7"/>
        <item x="3"/>
        <item x="1"/>
        <item x="6"/>
        <item x="2"/>
        <item t="default"/>
      </items>
    </pivotField>
    <pivotField showAll="0"/>
    <pivotField showAll="0"/>
    <pivotField showAll="0"/>
    <pivotField showAll="0"/>
    <pivotField showAll="0"/>
    <pivotField axis="axisPage" showAll="0">
      <items count="5">
        <item x="1"/>
        <item x="3"/>
        <item x="0"/>
        <item x="2"/>
        <item t="default"/>
      </items>
    </pivotField>
    <pivotField showAll="0"/>
    <pivotField dataField="1" showAll="0"/>
  </pivotFields>
  <rowFields count="1">
    <field x="4"/>
  </rowFields>
  <rowItems count="7">
    <i>
      <x/>
    </i>
    <i>
      <x v="1"/>
    </i>
    <i>
      <x v="2"/>
    </i>
    <i>
      <x v="3"/>
    </i>
    <i>
      <x v="4"/>
    </i>
    <i>
      <x v="5"/>
    </i>
    <i t="grand">
      <x/>
    </i>
  </rowItems>
  <colItems count="1">
    <i/>
  </colItems>
  <pageFields count="1">
    <pageField fld="11" item="2" hier="-1"/>
  </pageFields>
  <dataFields count="1">
    <dataField name="Sum of المجموع" fld="13"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A0FC14-4829-434F-A5C3-7B0D5FBA7B23}" name="PivotTable1"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H3:I12" firstHeaderRow="1" firstDataRow="1" firstDataCol="1" rowPageCount="1" colPageCount="1"/>
  <pivotFields count="14">
    <pivotField showAll="0"/>
    <pivotField showAll="0"/>
    <pivotField numFmtId="164" showAll="0"/>
    <pivotField showAll="0"/>
    <pivotField showAll="0">
      <items count="7">
        <item x="1"/>
        <item x="4"/>
        <item x="0"/>
        <item x="2"/>
        <item x="3"/>
        <item x="5"/>
        <item t="default"/>
      </items>
    </pivotField>
    <pivotField axis="axisRow" showAll="0" sortType="ascending">
      <items count="9">
        <item x="5"/>
        <item x="4"/>
        <item x="0"/>
        <item x="7"/>
        <item x="3"/>
        <item x="1"/>
        <item x="6"/>
        <item x="2"/>
        <item t="default"/>
      </items>
    </pivotField>
    <pivotField showAll="0"/>
    <pivotField showAll="0"/>
    <pivotField showAll="0"/>
    <pivotField showAll="0"/>
    <pivotField showAll="0">
      <items count="5">
        <item x="2"/>
        <item x="3"/>
        <item x="0"/>
        <item x="1"/>
        <item t="default"/>
      </items>
    </pivotField>
    <pivotField axis="axisPage" multipleItemSelectionAllowed="1" showAll="0">
      <items count="5">
        <item h="1" x="1"/>
        <item h="1" x="3"/>
        <item x="0"/>
        <item h="1" x="2"/>
        <item t="default"/>
      </items>
    </pivotField>
    <pivotField showAll="0"/>
    <pivotField dataField="1" showAll="0"/>
  </pivotFields>
  <rowFields count="1">
    <field x="5"/>
  </rowFields>
  <rowItems count="9">
    <i>
      <x/>
    </i>
    <i>
      <x v="1"/>
    </i>
    <i>
      <x v="2"/>
    </i>
    <i>
      <x v="3"/>
    </i>
    <i>
      <x v="4"/>
    </i>
    <i>
      <x v="5"/>
    </i>
    <i>
      <x v="6"/>
    </i>
    <i>
      <x v="7"/>
    </i>
    <i t="grand">
      <x/>
    </i>
  </rowItems>
  <colItems count="1">
    <i/>
  </colItems>
  <pageFields count="1">
    <pageField fld="11" hier="-1"/>
  </pageFields>
  <dataFields count="1">
    <dataField name="Sum of المجموع" fld="13"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1E0233-2237-4D61-833D-89788293E159}" name="PivotTable2"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E5:F11" firstHeaderRow="1" firstDataRow="1" firstDataCol="1" rowPageCount="1" colPageCount="1"/>
  <pivotFields count="14">
    <pivotField showAll="0"/>
    <pivotField showAll="0"/>
    <pivotField numFmtId="164" showAll="0"/>
    <pivotField axis="axisRow" showAll="0" measureFilter="1" sortType="descending">
      <items count="16">
        <item x="10"/>
        <item x="9"/>
        <item x="6"/>
        <item x="2"/>
        <item x="11"/>
        <item x="0"/>
        <item x="4"/>
        <item x="8"/>
        <item x="5"/>
        <item x="3"/>
        <item x="1"/>
        <item x="13"/>
        <item x="14"/>
        <item x="12"/>
        <item x="7"/>
        <item t="default"/>
      </items>
      <autoSortScope>
        <pivotArea dataOnly="0" outline="0" fieldPosition="0">
          <references count="1">
            <reference field="4294967294" count="1" selected="0">
              <x v="0"/>
            </reference>
          </references>
        </pivotArea>
      </autoSortScope>
    </pivotField>
    <pivotField showAll="0">
      <items count="7">
        <item x="1"/>
        <item x="4"/>
        <item x="0"/>
        <item x="2"/>
        <item x="3"/>
        <item x="5"/>
        <item t="default"/>
      </items>
    </pivotField>
    <pivotField showAll="0">
      <items count="9">
        <item x="5"/>
        <item x="4"/>
        <item x="0"/>
        <item x="7"/>
        <item x="3"/>
        <item x="1"/>
        <item x="6"/>
        <item x="2"/>
        <item t="default"/>
      </items>
    </pivotField>
    <pivotField showAll="0">
      <items count="28">
        <item x="16"/>
        <item x="3"/>
        <item x="0"/>
        <item x="4"/>
        <item x="12"/>
        <item x="17"/>
        <item x="26"/>
        <item x="21"/>
        <item x="10"/>
        <item x="18"/>
        <item x="13"/>
        <item x="24"/>
        <item x="23"/>
        <item x="7"/>
        <item x="11"/>
        <item x="9"/>
        <item x="8"/>
        <item x="14"/>
        <item x="5"/>
        <item x="19"/>
        <item x="22"/>
        <item x="20"/>
        <item x="1"/>
        <item x="6"/>
        <item x="2"/>
        <item x="25"/>
        <item x="15"/>
        <item t="default"/>
      </items>
    </pivotField>
    <pivotField showAll="0">
      <items count="11">
        <item x="9"/>
        <item x="3"/>
        <item x="8"/>
        <item x="1"/>
        <item x="0"/>
        <item x="5"/>
        <item x="7"/>
        <item x="6"/>
        <item x="4"/>
        <item x="2"/>
        <item t="default"/>
      </items>
    </pivotField>
    <pivotField showAll="0">
      <items count="16">
        <item x="4"/>
        <item x="14"/>
        <item x="0"/>
        <item x="5"/>
        <item x="8"/>
        <item x="9"/>
        <item x="10"/>
        <item x="7"/>
        <item x="12"/>
        <item x="11"/>
        <item x="2"/>
        <item x="6"/>
        <item x="1"/>
        <item x="13"/>
        <item x="3"/>
        <item t="default"/>
      </items>
    </pivotField>
    <pivotField showAll="0"/>
    <pivotField showAll="0">
      <items count="5">
        <item x="2"/>
        <item x="3"/>
        <item x="0"/>
        <item x="1"/>
        <item t="default"/>
      </items>
    </pivotField>
    <pivotField axis="axisPage" multipleItemSelectionAllowed="1" showAll="0">
      <items count="5">
        <item h="1" x="1"/>
        <item h="1" x="3"/>
        <item x="0"/>
        <item h="1" x="2"/>
        <item t="default"/>
      </items>
    </pivotField>
    <pivotField showAll="0"/>
    <pivotField dataField="1" showAll="0">
      <items count="129">
        <item x="113"/>
        <item x="123"/>
        <item x="32"/>
        <item x="94"/>
        <item x="83"/>
        <item x="17"/>
        <item x="66"/>
        <item x="127"/>
        <item x="18"/>
        <item x="105"/>
        <item x="4"/>
        <item x="74"/>
        <item x="116"/>
        <item x="54"/>
        <item x="16"/>
        <item x="115"/>
        <item x="43"/>
        <item x="82"/>
        <item x="27"/>
        <item x="34"/>
        <item x="108"/>
        <item x="84"/>
        <item x="31"/>
        <item x="0"/>
        <item x="65"/>
        <item x="28"/>
        <item x="92"/>
        <item x="95"/>
        <item x="19"/>
        <item x="58"/>
        <item x="79"/>
        <item x="5"/>
        <item x="111"/>
        <item x="86"/>
        <item x="23"/>
        <item x="100"/>
        <item x="55"/>
        <item x="51"/>
        <item x="11"/>
        <item x="98"/>
        <item x="50"/>
        <item x="29"/>
        <item x="41"/>
        <item x="8"/>
        <item x="21"/>
        <item x="36"/>
        <item x="56"/>
        <item x="78"/>
        <item x="38"/>
        <item x="110"/>
        <item x="112"/>
        <item x="91"/>
        <item x="15"/>
        <item x="12"/>
        <item x="97"/>
        <item x="59"/>
        <item x="89"/>
        <item x="99"/>
        <item x="20"/>
        <item x="104"/>
        <item x="70"/>
        <item x="119"/>
        <item x="121"/>
        <item x="53"/>
        <item x="109"/>
        <item x="14"/>
        <item x="69"/>
        <item x="35"/>
        <item x="37"/>
        <item x="75"/>
        <item x="103"/>
        <item x="125"/>
        <item x="10"/>
        <item x="107"/>
        <item x="7"/>
        <item x="102"/>
        <item x="57"/>
        <item x="80"/>
        <item x="85"/>
        <item x="93"/>
        <item x="61"/>
        <item x="46"/>
        <item x="67"/>
        <item x="39"/>
        <item x="26"/>
        <item x="9"/>
        <item x="77"/>
        <item x="63"/>
        <item x="52"/>
        <item x="24"/>
        <item x="87"/>
        <item x="120"/>
        <item x="62"/>
        <item x="101"/>
        <item x="6"/>
        <item x="96"/>
        <item x="126"/>
        <item x="42"/>
        <item x="60"/>
        <item x="3"/>
        <item x="124"/>
        <item x="90"/>
        <item x="47"/>
        <item x="2"/>
        <item x="13"/>
        <item x="71"/>
        <item x="114"/>
        <item x="44"/>
        <item x="1"/>
        <item x="106"/>
        <item x="72"/>
        <item x="22"/>
        <item x="30"/>
        <item x="64"/>
        <item x="88"/>
        <item x="33"/>
        <item x="45"/>
        <item x="81"/>
        <item x="49"/>
        <item x="118"/>
        <item x="73"/>
        <item x="25"/>
        <item x="40"/>
        <item x="117"/>
        <item x="122"/>
        <item x="48"/>
        <item x="76"/>
        <item x="68"/>
        <item t="default"/>
      </items>
    </pivotField>
  </pivotFields>
  <rowFields count="1">
    <field x="3"/>
  </rowFields>
  <rowItems count="6">
    <i>
      <x v="11"/>
    </i>
    <i>
      <x v="9"/>
    </i>
    <i>
      <x v="10"/>
    </i>
    <i>
      <x v="3"/>
    </i>
    <i>
      <x v="2"/>
    </i>
    <i t="grand">
      <x/>
    </i>
  </rowItems>
  <colItems count="1">
    <i/>
  </colItems>
  <pageFields count="1">
    <pageField fld="11" hier="-1"/>
  </pageFields>
  <dataFields count="1">
    <dataField name="Sum of المجموع" fld="13" baseField="7" baseItem="0" numFmtId="3"/>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35A30D-1531-41E1-9973-5A53D2A69875}" name="PivotTable3"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B21" firstHeaderRow="1" firstDataRow="1" firstDataCol="1" rowPageCount="3" colPageCount="1"/>
  <pivotFields count="5">
    <pivotField axis="axisRow" allDrilled="1" showAll="0" sortType="descending" defaultAttributeDrillState="1">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16">
    <i>
      <x v="11"/>
    </i>
    <i>
      <x v="9"/>
    </i>
    <i>
      <x v="10"/>
    </i>
    <i>
      <x v="3"/>
    </i>
    <i>
      <x v="2"/>
    </i>
    <i>
      <x v="4"/>
    </i>
    <i>
      <x v="13"/>
    </i>
    <i>
      <x v="14"/>
    </i>
    <i>
      <x/>
    </i>
    <i>
      <x v="1"/>
    </i>
    <i>
      <x v="8"/>
    </i>
    <i>
      <x v="7"/>
    </i>
    <i>
      <x v="12"/>
    </i>
    <i>
      <x v="5"/>
    </i>
    <i>
      <x v="6"/>
    </i>
    <i t="grand">
      <x/>
    </i>
  </rowItems>
  <colItems count="1">
    <i/>
  </colItems>
  <pageFields count="3">
    <pageField fld="1" hier="5" name="[Table1].[المحافظة].[All]" cap="All"/>
    <pageField fld="2" hier="6" name="[Table1].[المدينة].[All]" cap="All"/>
    <pageField fld="3" hier="11" name="[Table1].[حالة الطلب].&amp;[مكتمل]" cap="مكتمل"/>
  </pageFields>
  <dataFields count="1">
    <dataField name="Sum of صافي الربح" fld="4" baseField="0" baseItem="0" numFmtId="3"/>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حالة الطلب].&amp;[مكتمل]"/>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بيانات_مبيعات_عربية_1000_صف.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5CC053-A00F-4ACA-B3BA-AB2016A9A53B}" name="PivotTable9"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B21" firstHeaderRow="1" firstDataRow="1" firstDataCol="1" rowPageCount="3" colPageCount="1"/>
  <pivotFields count="15">
    <pivotField showAll="0"/>
    <pivotField showAll="0"/>
    <pivotField numFmtId="14" showAll="0"/>
    <pivotField axis="axisRow" showAll="0" sortType="descending">
      <items count="16">
        <item x="10"/>
        <item x="9"/>
        <item x="6"/>
        <item x="2"/>
        <item x="11"/>
        <item x="0"/>
        <item x="4"/>
        <item x="8"/>
        <item x="5"/>
        <item x="3"/>
        <item x="1"/>
        <item x="13"/>
        <item x="14"/>
        <item x="12"/>
        <item x="7"/>
        <item t="default"/>
      </items>
      <autoSortScope>
        <pivotArea dataOnly="0" outline="0" fieldPosition="0">
          <references count="1">
            <reference field="4294967294" count="1" selected="0">
              <x v="0"/>
            </reference>
          </references>
        </pivotArea>
      </autoSortScope>
    </pivotField>
    <pivotField showAll="0"/>
    <pivotField axis="axisPage" showAll="0">
      <items count="9">
        <item x="5"/>
        <item x="4"/>
        <item x="0"/>
        <item x="7"/>
        <item x="3"/>
        <item x="1"/>
        <item x="6"/>
        <item x="2"/>
        <item t="default"/>
      </items>
    </pivotField>
    <pivotField axis="axisPage" showAll="0">
      <items count="28">
        <item x="16"/>
        <item x="3"/>
        <item x="0"/>
        <item x="4"/>
        <item x="12"/>
        <item x="17"/>
        <item x="26"/>
        <item x="21"/>
        <item x="10"/>
        <item x="18"/>
        <item x="13"/>
        <item x="24"/>
        <item x="23"/>
        <item x="7"/>
        <item x="11"/>
        <item x="9"/>
        <item x="8"/>
        <item x="14"/>
        <item x="5"/>
        <item x="19"/>
        <item x="22"/>
        <item x="20"/>
        <item x="1"/>
        <item x="6"/>
        <item x="2"/>
        <item x="25"/>
        <item x="15"/>
        <item t="default"/>
      </items>
    </pivotField>
    <pivotField showAll="0"/>
    <pivotField showAll="0"/>
    <pivotField showAll="0"/>
    <pivotField showAll="0"/>
    <pivotField axis="axisPage" multipleItemSelectionAllowed="1" showAll="0">
      <items count="5">
        <item x="1"/>
        <item h="1" x="3"/>
        <item x="0"/>
        <item h="1" x="2"/>
        <item t="default"/>
      </items>
    </pivotField>
    <pivotField showAll="0"/>
    <pivotField showAll="0"/>
    <pivotField dataField="1" showAll="0"/>
  </pivotFields>
  <rowFields count="1">
    <field x="3"/>
  </rowFields>
  <rowItems count="16">
    <i>
      <x v="11"/>
    </i>
    <i>
      <x v="9"/>
    </i>
    <i>
      <x v="10"/>
    </i>
    <i>
      <x v="2"/>
    </i>
    <i>
      <x v="3"/>
    </i>
    <i>
      <x v="4"/>
    </i>
    <i>
      <x v="13"/>
    </i>
    <i>
      <x v="14"/>
    </i>
    <i>
      <x/>
    </i>
    <i>
      <x v="1"/>
    </i>
    <i>
      <x v="7"/>
    </i>
    <i>
      <x v="8"/>
    </i>
    <i>
      <x v="12"/>
    </i>
    <i>
      <x v="5"/>
    </i>
    <i>
      <x v="6"/>
    </i>
    <i t="grand">
      <x/>
    </i>
  </rowItems>
  <colItems count="1">
    <i/>
  </colItems>
  <pageFields count="3">
    <pageField fld="5" hier="-1"/>
    <pageField fld="6" hier="-1"/>
    <pageField fld="11" hier="-1"/>
  </pageFields>
  <dataFields count="1">
    <dataField name="Sum of صافي الربح" fld="14" baseField="3" baseItem="1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ة" xr10:uid="{2584E3F4-FECE-4364-8707-3312A2D9EFC9}" sourceName="المحافظة">
  <pivotTables>
    <pivotTable tabId="11" name="PivotTable1"/>
    <pivotTable tabId="11" name="PivotTable2"/>
    <pivotTable tabId="11" name="PivotTable4"/>
  </pivotTables>
  <data>
    <tabular pivotCacheId="787897234">
      <items count="8">
        <i x="5" s="1"/>
        <i x="4" s="1"/>
        <i x="0" s="1"/>
        <i x="7" s="1"/>
        <i x="3" s="1"/>
        <i x="1"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فئة" xr10:uid="{40599862-DD30-4E26-9538-D2A55239335B}" sourceName="الفئة">
  <pivotTables>
    <pivotTable tabId="11" name="PivotTable4"/>
    <pivotTable tabId="11" name="PivotTable1"/>
    <pivotTable tabId="11" name="PivotTable2"/>
  </pivotTables>
  <data>
    <tabular pivotCacheId="787897234">
      <items count="6">
        <i x="1" s="1"/>
        <i x="4" s="1"/>
        <i x="0" s="1"/>
        <i x="2"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طريقة_الدفع" xr10:uid="{7863E975-0CC7-4BEE-AFBA-DD4969C03755}" sourceName="طريقة الدفع">
  <pivotTables>
    <pivotTable tabId="11" name="PivotTable2"/>
    <pivotTable tabId="11" name="PivotTable1"/>
  </pivotTables>
  <data>
    <tabular pivotCacheId="78789723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حافظة" xr10:uid="{FD60C3E6-9DF5-43EA-B8D1-6F5421C60E09}" cache="Slicer_المحافظة" caption="المحافظة" rowHeight="234950"/>
  <slicer name="الفئة" xr10:uid="{2DBB2AAD-1D2B-4339-AB13-FF73AC61A0BA}" cache="Slicer_الفئة" caption="الفئة" rowHeight="234950"/>
  <slicer name="طريقة الدفع" xr10:uid="{A63BFA71-640E-4DC4-9AC5-0C6F5C25F541}" cache="Slicer_طريقة_الدفع" caption="طريقة الدفع"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51BBAF-A46C-4E3A-A9F4-BCA2E75BFD7B}" name="SalesTable" displayName="SalesTable" ref="A1:O1001" totalsRowShown="0" headerRowDxfId="5" headerRowBorderDxfId="4" tableBorderDxfId="3">
  <autoFilter ref="A1:O1001" xr:uid="{6451BBAF-A46C-4E3A-A9F4-BCA2E75BFD7B}"/>
  <tableColumns count="15">
    <tableColumn id="1" xr3:uid="{FEBC04DD-29DA-4D56-B61B-A74C3BE32A8C}" name="رقم العملية"/>
    <tableColumn id="2" xr3:uid="{0635DE71-64FC-433E-B089-BEFFF47EB050}" name="اسم الموظف"/>
    <tableColumn id="3" xr3:uid="{A79D116F-3025-419F-B366-5E6484F1697E}" name="التاريخ" dataDxfId="2"/>
    <tableColumn id="4" xr3:uid="{E72E7F83-AE24-41F9-B3B1-56EBF7513417}" name="المنتج"/>
    <tableColumn id="5" xr3:uid="{D77D4465-6298-425D-8AC0-957A4AFF6446}" name="الفئة"/>
    <tableColumn id="6" xr3:uid="{76D60754-9F1B-4839-9453-E6F626039E40}" name="المحافظة"/>
    <tableColumn id="7" xr3:uid="{1DD05018-580E-4C34-8AE8-97E6874503B4}" name="المدينة"/>
    <tableColumn id="8" xr3:uid="{DFAB32FB-5207-4CFF-9D43-200CBE4D6BA7}" name="الكمية"/>
    <tableColumn id="9" xr3:uid="{25A6A46E-1B27-468E-BD27-AE1C9499B7A5}" name="سعر الوحدة"/>
    <tableColumn id="10" xr3:uid="{01D7FBBC-B532-43FB-AA0F-72983A7BA2F4}" name="الخصم"/>
    <tableColumn id="11" xr3:uid="{F603789A-8EBE-491C-B43E-69A498C23739}" name="طريقة الدفع"/>
    <tableColumn id="12" xr3:uid="{09708F54-DB75-47B6-B97D-6E83B59173A8}" name="حالة الطلب"/>
    <tableColumn id="13" xr3:uid="{EE4B583F-B23D-4D1E-ACFF-190BE80C7872}" name="اسم العميل"/>
    <tableColumn id="14" xr3:uid="{E5602AEB-4740-42A7-8C4B-3A36F3743535}" name="المجموع" dataDxfId="1">
      <calculatedColumnFormula>SalesTable[[#This Row],[الكمية]]*SalesTable[[#This Row],[سعر الوحدة]]</calculatedColumnFormula>
    </tableColumn>
    <tableColumn id="15" xr3:uid="{4261AA38-B29B-4202-938A-9CD3ABF68F28}" name="صافي الربح" dataDxfId="0">
      <calculatedColumnFormula>SalesTable[[#This Row],[الكمية]]*SalesTable[[#This Row],[سعر الوحدة]]*(1-SalesTable[[#This Row],[الخصم]])</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81C64-3674-49E0-84F0-D7EE101B87D3}">
  <dimension ref="A1:L21"/>
  <sheetViews>
    <sheetView rightToLeft="1" workbookViewId="0">
      <selection activeCell="E7" sqref="E7"/>
    </sheetView>
  </sheetViews>
  <sheetFormatPr defaultRowHeight="14.4" x14ac:dyDescent="0.3"/>
  <cols>
    <col min="1" max="1" width="13.109375" bestFit="1" customWidth="1"/>
    <col min="2" max="2" width="14.88671875" bestFit="1" customWidth="1"/>
    <col min="3" max="4" width="8" bestFit="1" customWidth="1"/>
    <col min="5" max="5" width="12.5546875" bestFit="1" customWidth="1"/>
    <col min="6" max="6" width="13.21875" bestFit="1" customWidth="1"/>
    <col min="7" max="7" width="8" bestFit="1" customWidth="1"/>
    <col min="8" max="8" width="12.5546875" bestFit="1" customWidth="1"/>
    <col min="9" max="9" width="13.21875" bestFit="1" customWidth="1"/>
    <col min="10" max="10" width="15.5546875" bestFit="1" customWidth="1"/>
    <col min="11" max="11" width="12.5546875" bestFit="1" customWidth="1"/>
    <col min="12" max="12" width="13.21875" bestFit="1" customWidth="1"/>
    <col min="13" max="15" width="15.5546875" bestFit="1" customWidth="1"/>
    <col min="16" max="16" width="10.77734375" bestFit="1" customWidth="1"/>
    <col min="17" max="21" width="8" bestFit="1" customWidth="1"/>
    <col min="22" max="22" width="18" bestFit="1" customWidth="1"/>
    <col min="23" max="23" width="19.6640625" bestFit="1" customWidth="1"/>
  </cols>
  <sheetData>
    <row r="1" spans="1:12" x14ac:dyDescent="0.3">
      <c r="A1" s="4" t="s">
        <v>5</v>
      </c>
      <c r="B1" s="7" t="s" vm="2">
        <v>378</v>
      </c>
      <c r="H1" s="4" t="s">
        <v>11</v>
      </c>
      <c r="I1" s="7" t="s">
        <v>19</v>
      </c>
      <c r="K1" s="4" t="s">
        <v>11</v>
      </c>
      <c r="L1" s="7" t="s">
        <v>19</v>
      </c>
    </row>
    <row r="2" spans="1:12" x14ac:dyDescent="0.3">
      <c r="A2" s="4" t="s">
        <v>6</v>
      </c>
      <c r="B2" s="7" t="s" vm="1">
        <v>378</v>
      </c>
    </row>
    <row r="3" spans="1:12" x14ac:dyDescent="0.3">
      <c r="A3" s="4" t="s">
        <v>11</v>
      </c>
      <c r="B3" s="7" t="s" vm="3">
        <v>19</v>
      </c>
      <c r="E3" s="4" t="s">
        <v>11</v>
      </c>
      <c r="F3" s="7" t="s">
        <v>19</v>
      </c>
      <c r="H3" s="4" t="s">
        <v>373</v>
      </c>
      <c r="I3" t="s">
        <v>377</v>
      </c>
      <c r="K3" s="4" t="s">
        <v>373</v>
      </c>
      <c r="L3" t="s">
        <v>377</v>
      </c>
    </row>
    <row r="4" spans="1:12" x14ac:dyDescent="0.3">
      <c r="H4" s="7" t="s">
        <v>64</v>
      </c>
      <c r="I4" s="5">
        <v>1040800</v>
      </c>
      <c r="K4" s="7" t="s">
        <v>23</v>
      </c>
      <c r="L4" s="5">
        <v>9131000</v>
      </c>
    </row>
    <row r="5" spans="1:12" x14ac:dyDescent="0.3">
      <c r="A5" s="4" t="s">
        <v>373</v>
      </c>
      <c r="B5" t="s">
        <v>376</v>
      </c>
      <c r="E5" s="4" t="s">
        <v>373</v>
      </c>
      <c r="F5" t="s">
        <v>377</v>
      </c>
      <c r="H5" s="7" t="s">
        <v>59</v>
      </c>
      <c r="I5" s="5">
        <v>2317850</v>
      </c>
      <c r="K5" s="7" t="s">
        <v>46</v>
      </c>
      <c r="L5" s="5">
        <v>417050</v>
      </c>
    </row>
    <row r="6" spans="1:12" x14ac:dyDescent="0.3">
      <c r="A6" s="7" t="s">
        <v>104</v>
      </c>
      <c r="B6" s="6">
        <v>3605000</v>
      </c>
      <c r="E6" s="7" t="s">
        <v>104</v>
      </c>
      <c r="F6" s="6">
        <v>3836000</v>
      </c>
      <c r="H6" s="7" t="s">
        <v>16</v>
      </c>
      <c r="I6" s="5">
        <v>1772800</v>
      </c>
      <c r="K6" s="7" t="s">
        <v>15</v>
      </c>
      <c r="L6" s="5">
        <v>833950</v>
      </c>
    </row>
    <row r="7" spans="1:12" x14ac:dyDescent="0.3">
      <c r="A7" s="7" t="s">
        <v>37</v>
      </c>
      <c r="B7" s="6">
        <v>2589440</v>
      </c>
      <c r="E7" s="7" t="s">
        <v>37</v>
      </c>
      <c r="F7" s="6">
        <v>2720000</v>
      </c>
      <c r="H7" s="7" t="s">
        <v>87</v>
      </c>
      <c r="I7" s="5">
        <v>1307850</v>
      </c>
      <c r="K7" s="7" t="s">
        <v>30</v>
      </c>
      <c r="L7" s="5">
        <v>1755000</v>
      </c>
    </row>
    <row r="8" spans="1:12" x14ac:dyDescent="0.3">
      <c r="A8" s="7" t="s">
        <v>22</v>
      </c>
      <c r="B8" s="6">
        <v>2351250</v>
      </c>
      <c r="E8" s="7" t="s">
        <v>22</v>
      </c>
      <c r="F8" s="6">
        <v>2575000</v>
      </c>
      <c r="H8" s="7" t="s">
        <v>49</v>
      </c>
      <c r="I8" s="5">
        <v>1756000</v>
      </c>
      <c r="K8" s="7" t="s">
        <v>41</v>
      </c>
      <c r="L8" s="5">
        <v>163250</v>
      </c>
    </row>
    <row r="9" spans="1:12" x14ac:dyDescent="0.3">
      <c r="A9" s="7" t="s">
        <v>29</v>
      </c>
      <c r="B9" s="6">
        <v>877125</v>
      </c>
      <c r="E9" s="7" t="s">
        <v>29</v>
      </c>
      <c r="F9" s="6">
        <v>945000</v>
      </c>
      <c r="H9" s="7" t="s">
        <v>24</v>
      </c>
      <c r="I9" s="5">
        <v>1212800</v>
      </c>
      <c r="K9" s="7" t="s">
        <v>91</v>
      </c>
      <c r="L9" s="5">
        <v>448500</v>
      </c>
    </row>
    <row r="10" spans="1:12" x14ac:dyDescent="0.3">
      <c r="A10" s="7" t="s">
        <v>48</v>
      </c>
      <c r="B10" s="6">
        <v>744300</v>
      </c>
      <c r="E10" s="7" t="s">
        <v>48</v>
      </c>
      <c r="F10" s="6">
        <v>810000</v>
      </c>
      <c r="H10" s="7" t="s">
        <v>84</v>
      </c>
      <c r="I10" s="5">
        <v>1626650</v>
      </c>
      <c r="K10" s="7" t="s">
        <v>374</v>
      </c>
      <c r="L10" s="5">
        <v>12748750</v>
      </c>
    </row>
    <row r="11" spans="1:12" x14ac:dyDescent="0.3">
      <c r="A11" s="7" t="s">
        <v>90</v>
      </c>
      <c r="B11" s="6">
        <v>418340</v>
      </c>
      <c r="E11" s="7" t="s">
        <v>374</v>
      </c>
      <c r="F11" s="6">
        <v>10886000</v>
      </c>
      <c r="H11" s="7" t="s">
        <v>31</v>
      </c>
      <c r="I11" s="5">
        <v>1714000</v>
      </c>
    </row>
    <row r="12" spans="1:12" ht="15" customHeight="1" x14ac:dyDescent="0.3">
      <c r="A12" s="7" t="s">
        <v>95</v>
      </c>
      <c r="B12" s="6">
        <v>368004</v>
      </c>
      <c r="H12" s="7" t="s">
        <v>374</v>
      </c>
      <c r="I12" s="5">
        <v>12748750</v>
      </c>
    </row>
    <row r="13" spans="1:12" x14ac:dyDescent="0.3">
      <c r="A13" s="7" t="s">
        <v>53</v>
      </c>
      <c r="B13" s="6">
        <v>352480</v>
      </c>
    </row>
    <row r="14" spans="1:12" x14ac:dyDescent="0.3">
      <c r="A14" s="7" t="s">
        <v>81</v>
      </c>
      <c r="B14" s="6">
        <v>136554</v>
      </c>
    </row>
    <row r="15" spans="1:12" x14ac:dyDescent="0.3">
      <c r="A15" s="7" t="s">
        <v>70</v>
      </c>
      <c r="B15" s="6">
        <v>132084</v>
      </c>
    </row>
    <row r="16" spans="1:12" x14ac:dyDescent="0.3">
      <c r="A16" s="7" t="s">
        <v>45</v>
      </c>
      <c r="B16" s="6">
        <v>102132</v>
      </c>
    </row>
    <row r="17" spans="1:2" x14ac:dyDescent="0.3">
      <c r="A17" s="7" t="s">
        <v>68</v>
      </c>
      <c r="B17" s="6">
        <v>82460</v>
      </c>
    </row>
    <row r="18" spans="1:2" x14ac:dyDescent="0.3">
      <c r="A18" s="7" t="s">
        <v>110</v>
      </c>
      <c r="B18" s="6">
        <v>69160.5</v>
      </c>
    </row>
    <row r="19" spans="1:2" x14ac:dyDescent="0.3">
      <c r="A19" s="7" t="s">
        <v>14</v>
      </c>
      <c r="B19" s="6">
        <v>55848</v>
      </c>
    </row>
    <row r="20" spans="1:2" x14ac:dyDescent="0.3">
      <c r="A20" s="7" t="s">
        <v>40</v>
      </c>
      <c r="B20" s="6">
        <v>12892.5</v>
      </c>
    </row>
    <row r="21" spans="1:2" x14ac:dyDescent="0.3">
      <c r="A21" s="7" t="s">
        <v>374</v>
      </c>
      <c r="B21" s="6">
        <v>11897070</v>
      </c>
    </row>
  </sheetData>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585CC-A7FF-4EB6-A380-DC02C23DD099}">
  <dimension ref="A1:D2"/>
  <sheetViews>
    <sheetView showGridLines="0" rightToLeft="1" tabSelected="1" zoomScale="80" zoomScaleNormal="80" workbookViewId="0">
      <selection activeCell="N7" sqref="N7"/>
    </sheetView>
  </sheetViews>
  <sheetFormatPr defaultRowHeight="14.4" x14ac:dyDescent="0.3"/>
  <cols>
    <col min="1" max="1" width="13.109375" bestFit="1" customWidth="1"/>
    <col min="2" max="2" width="16.109375" bestFit="1" customWidth="1"/>
    <col min="3" max="3" width="11.88671875" bestFit="1" customWidth="1"/>
    <col min="4" max="11" width="8" bestFit="1" customWidth="1"/>
    <col min="12" max="12" width="10.77734375" bestFit="1" customWidth="1"/>
    <col min="13" max="13" width="15.5546875" bestFit="1" customWidth="1"/>
    <col min="14" max="14" width="13.21875" bestFit="1" customWidth="1"/>
    <col min="15" max="15" width="15.5546875" bestFit="1" customWidth="1"/>
    <col min="16" max="16" width="13.21875" bestFit="1" customWidth="1"/>
    <col min="17" max="17" width="15.5546875" bestFit="1" customWidth="1"/>
    <col min="18" max="18" width="13.21875" bestFit="1" customWidth="1"/>
    <col min="19" max="19" width="15.5546875" bestFit="1" customWidth="1"/>
    <col min="20" max="20" width="13.21875" bestFit="1" customWidth="1"/>
    <col min="21" max="21" width="15.5546875" bestFit="1" customWidth="1"/>
    <col min="22" max="22" width="18" bestFit="1" customWidth="1"/>
    <col min="23" max="23" width="20.33203125" bestFit="1" customWidth="1"/>
  </cols>
  <sheetData>
    <row r="1" spans="1:4" x14ac:dyDescent="0.3">
      <c r="A1" t="s">
        <v>382</v>
      </c>
      <c r="B1" t="s">
        <v>381</v>
      </c>
      <c r="C1" t="s">
        <v>383</v>
      </c>
      <c r="D1" t="s">
        <v>384</v>
      </c>
    </row>
    <row r="2" spans="1:4" x14ac:dyDescent="0.3">
      <c r="A2">
        <f>SUMIFS(SalesTable[المجموع], SalesTable[حالة الطلب], "مكتمل")</f>
        <v>12748750</v>
      </c>
      <c r="B2">
        <f>SUMIFS(SalesTable[صافي الربح], SalesTable[حالة الطلب], "مكتمل")</f>
        <v>11897070</v>
      </c>
      <c r="C2" t="str" cm="1">
        <f t="array" ref="C2">INDEX(_xlfn.SORTBY(_xlfn.UNIQUE(SalesTable[المنتج]), SUMIFS(SalesTable[المجموع], SalesTable[المنتج], _xlfn.UNIQUE(SalesTable[المنتج]), SalesTable[حالة الطلب], "مكتمل"), -1), 1)</f>
        <v>لابتوب Lenovo</v>
      </c>
      <c r="D2" t="str" cm="1">
        <f t="array" ref="D2">INDEX(_xlfn.SORTBY(_xlfn.UNIQUE(SalesTable[المدينة]),SUMIFS(SalesTable[المجموع],SalesTable[المدينة],_xlfn.UNIQUE(SalesTable[المدينة]),SalesTable[المدينة],"مكتمله"),-1),1)</f>
        <v>الدقي</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CCF5E-8110-49F0-84D0-CCCD25B79ED9}">
  <dimension ref="A1:B21"/>
  <sheetViews>
    <sheetView rightToLeft="1" workbookViewId="0">
      <selection activeCell="B6" sqref="B6"/>
    </sheetView>
  </sheetViews>
  <sheetFormatPr defaultRowHeight="14.4" x14ac:dyDescent="0.3"/>
  <cols>
    <col min="1" max="1" width="13.109375" bestFit="1" customWidth="1"/>
    <col min="2" max="2" width="16.109375" bestFit="1" customWidth="1"/>
    <col min="3" max="3" width="9.44140625" bestFit="1" customWidth="1"/>
    <col min="4" max="4" width="8.6640625" bestFit="1" customWidth="1"/>
    <col min="5" max="5" width="8" bestFit="1" customWidth="1"/>
    <col min="6" max="6" width="13.21875" bestFit="1" customWidth="1"/>
    <col min="7" max="7" width="8" bestFit="1" customWidth="1"/>
    <col min="8" max="8" width="11.33203125" bestFit="1" customWidth="1"/>
    <col min="9" max="9" width="13.6640625" bestFit="1" customWidth="1"/>
    <col min="10" max="10" width="10.88671875" bestFit="1" customWidth="1"/>
    <col min="11" max="11" width="12.77734375" bestFit="1" customWidth="1"/>
    <col min="12" max="12" width="7.88671875" bestFit="1" customWidth="1"/>
    <col min="13" max="13" width="13.44140625" bestFit="1" customWidth="1"/>
    <col min="14" max="14" width="11" bestFit="1" customWidth="1"/>
    <col min="15" max="15" width="12.44140625" bestFit="1" customWidth="1"/>
    <col min="16" max="16" width="8.21875" bestFit="1" customWidth="1"/>
    <col min="17" max="17" width="10.77734375" bestFit="1" customWidth="1"/>
    <col min="18" max="18" width="9.44140625" bestFit="1" customWidth="1"/>
    <col min="19" max="19" width="12.5546875" bestFit="1" customWidth="1"/>
    <col min="20" max="20" width="8.6640625" bestFit="1" customWidth="1"/>
    <col min="21" max="21" width="7.5546875" bestFit="1" customWidth="1"/>
    <col min="22" max="22" width="13.21875" bestFit="1" customWidth="1"/>
    <col min="23" max="23" width="7.77734375" bestFit="1" customWidth="1"/>
    <col min="24" max="24" width="11.33203125" bestFit="1" customWidth="1"/>
    <col min="25" max="25" width="13.6640625" bestFit="1" customWidth="1"/>
    <col min="26" max="26" width="7.88671875" bestFit="1" customWidth="1"/>
    <col min="27" max="27" width="10.88671875" bestFit="1" customWidth="1"/>
    <col min="28" max="28" width="12.77734375" bestFit="1" customWidth="1"/>
    <col min="29" max="29" width="13.44140625" bestFit="1" customWidth="1"/>
    <col min="30" max="30" width="12.44140625" bestFit="1" customWidth="1"/>
    <col min="31" max="31" width="11" bestFit="1" customWidth="1"/>
    <col min="32" max="32" width="8.21875" bestFit="1" customWidth="1"/>
    <col min="33" max="33" width="10.21875" bestFit="1" customWidth="1"/>
    <col min="34" max="34" width="12.5546875" bestFit="1" customWidth="1"/>
    <col min="35" max="35" width="9.44140625" bestFit="1" customWidth="1"/>
    <col min="36" max="36" width="8.6640625" bestFit="1" customWidth="1"/>
    <col min="37" max="37" width="13.21875" bestFit="1" customWidth="1"/>
    <col min="38" max="38" width="7.5546875" bestFit="1" customWidth="1"/>
    <col min="39" max="39" width="11.33203125" bestFit="1" customWidth="1"/>
    <col min="40" max="40" width="13.6640625" bestFit="1" customWidth="1"/>
    <col min="41" max="41" width="7.77734375" bestFit="1" customWidth="1"/>
    <col min="42" max="42" width="12.77734375" bestFit="1" customWidth="1"/>
    <col min="43" max="43" width="13.44140625" bestFit="1" customWidth="1"/>
    <col min="44" max="44" width="10.88671875" bestFit="1" customWidth="1"/>
    <col min="45" max="45" width="12.44140625" bestFit="1" customWidth="1"/>
    <col min="46" max="46" width="11" bestFit="1" customWidth="1"/>
    <col min="47" max="47" width="7.88671875" bestFit="1" customWidth="1"/>
    <col min="48" max="48" width="8.21875" bestFit="1" customWidth="1"/>
    <col min="49" max="49" width="9.5546875" bestFit="1" customWidth="1"/>
    <col min="50" max="50" width="12.5546875" bestFit="1" customWidth="1"/>
    <col min="51" max="51" width="9.44140625" bestFit="1" customWidth="1"/>
    <col min="52" max="52" width="8.6640625" bestFit="1" customWidth="1"/>
    <col min="53" max="53" width="7.5546875" bestFit="1" customWidth="1"/>
    <col min="54" max="54" width="13.21875" bestFit="1" customWidth="1"/>
    <col min="55" max="55" width="7.77734375" bestFit="1" customWidth="1"/>
    <col min="56" max="56" width="11.33203125" bestFit="1" customWidth="1"/>
    <col min="57" max="57" width="10.88671875" bestFit="1" customWidth="1"/>
    <col min="58" max="58" width="13.6640625" bestFit="1" customWidth="1"/>
    <col min="59" max="59" width="7.88671875" bestFit="1" customWidth="1"/>
    <col min="60" max="60" width="12.77734375" bestFit="1" customWidth="1"/>
    <col min="61" max="61" width="11" bestFit="1" customWidth="1"/>
    <col min="62" max="62" width="13.44140625" bestFit="1" customWidth="1"/>
    <col min="63" max="63" width="12.44140625" bestFit="1" customWidth="1"/>
    <col min="64" max="64" width="8.21875" bestFit="1" customWidth="1"/>
    <col min="65" max="65" width="11.21875" bestFit="1" customWidth="1"/>
    <col min="66" max="66" width="12.5546875" bestFit="1" customWidth="1"/>
    <col min="67" max="67" width="8.6640625" bestFit="1" customWidth="1"/>
    <col min="68" max="68" width="9.44140625" bestFit="1" customWidth="1"/>
    <col min="69" max="69" width="7.5546875" bestFit="1" customWidth="1"/>
    <col min="70" max="70" width="13.21875" bestFit="1" customWidth="1"/>
    <col min="71" max="71" width="11.33203125" bestFit="1" customWidth="1"/>
    <col min="72" max="72" width="12.77734375" bestFit="1" customWidth="1"/>
    <col min="73" max="73" width="13.6640625" bestFit="1" customWidth="1"/>
    <col min="74" max="74" width="10.88671875" bestFit="1" customWidth="1"/>
    <col min="75" max="75" width="7.77734375" bestFit="1" customWidth="1"/>
    <col min="76" max="76" width="13.44140625" bestFit="1" customWidth="1"/>
    <col min="77" max="77" width="12.44140625" bestFit="1" customWidth="1"/>
    <col min="78" max="78" width="7.88671875" bestFit="1" customWidth="1"/>
    <col min="79" max="79" width="11" bestFit="1" customWidth="1"/>
    <col min="80" max="80" width="8.21875" bestFit="1" customWidth="1"/>
    <col min="81" max="81" width="10.6640625" bestFit="1" customWidth="1"/>
    <col min="82" max="82" width="9.44140625" bestFit="1" customWidth="1"/>
    <col min="83" max="83" width="12.5546875" bestFit="1" customWidth="1"/>
    <col min="84" max="84" width="8.6640625" bestFit="1" customWidth="1"/>
    <col min="85" max="85" width="7.5546875" bestFit="1" customWidth="1"/>
    <col min="86" max="86" width="13.21875" bestFit="1" customWidth="1"/>
    <col min="87" max="87" width="7.77734375" bestFit="1" customWidth="1"/>
    <col min="88" max="88" width="13.6640625" bestFit="1" customWidth="1"/>
    <col min="89" max="89" width="11.33203125" bestFit="1" customWidth="1"/>
    <col min="90" max="90" width="7.88671875" bestFit="1" customWidth="1"/>
    <col min="91" max="91" width="12.77734375" bestFit="1" customWidth="1"/>
    <col min="92" max="92" width="10.88671875" bestFit="1" customWidth="1"/>
    <col min="93" max="93" width="13.44140625" bestFit="1" customWidth="1"/>
    <col min="94" max="94" width="11" bestFit="1" customWidth="1"/>
    <col min="95" max="95" width="12.44140625" bestFit="1" customWidth="1"/>
    <col min="96" max="96" width="8.21875" bestFit="1" customWidth="1"/>
    <col min="97" max="97" width="10.21875" bestFit="1" customWidth="1"/>
    <col min="98" max="98" width="12.5546875" bestFit="1" customWidth="1"/>
    <col min="99" max="99" width="9.44140625" bestFit="1" customWidth="1"/>
    <col min="100" max="100" width="13.21875" bestFit="1" customWidth="1"/>
    <col min="101" max="101" width="7.77734375" bestFit="1" customWidth="1"/>
    <col min="102" max="102" width="11.33203125" bestFit="1" customWidth="1"/>
    <col min="103" max="103" width="8.6640625" bestFit="1" customWidth="1"/>
    <col min="104" max="104" width="7.5546875" bestFit="1" customWidth="1"/>
    <col min="105" max="105" width="13.6640625" bestFit="1" customWidth="1"/>
    <col min="106" max="106" width="10.88671875" bestFit="1" customWidth="1"/>
    <col min="107" max="107" width="12.77734375" bestFit="1" customWidth="1"/>
    <col min="108" max="108" width="13.44140625" bestFit="1" customWidth="1"/>
    <col min="109" max="109" width="7.88671875" bestFit="1" customWidth="1"/>
    <col min="110" max="110" width="12.44140625" bestFit="1" customWidth="1"/>
    <col min="111" max="111" width="11" bestFit="1" customWidth="1"/>
    <col min="112" max="112" width="8.21875" bestFit="1" customWidth="1"/>
    <col min="113" max="113" width="11.44140625" bestFit="1" customWidth="1"/>
    <col min="114" max="114" width="9.44140625" bestFit="1" customWidth="1"/>
    <col min="115" max="115" width="8.6640625" bestFit="1" customWidth="1"/>
    <col min="116" max="116" width="12.5546875" bestFit="1" customWidth="1"/>
    <col min="117" max="117" width="7.5546875" bestFit="1" customWidth="1"/>
    <col min="118" max="118" width="13.6640625" bestFit="1" customWidth="1"/>
    <col min="119" max="119" width="7.77734375" bestFit="1" customWidth="1"/>
    <col min="120" max="120" width="13.21875" bestFit="1" customWidth="1"/>
    <col min="121" max="121" width="11.33203125" bestFit="1" customWidth="1"/>
    <col min="122" max="122" width="10.88671875" bestFit="1" customWidth="1"/>
    <col min="123" max="123" width="12.77734375" bestFit="1" customWidth="1"/>
    <col min="124" max="124" width="13.44140625" bestFit="1" customWidth="1"/>
    <col min="125" max="125" width="12.44140625" bestFit="1" customWidth="1"/>
    <col min="126" max="126" width="11" bestFit="1" customWidth="1"/>
    <col min="127" max="127" width="7.88671875" bestFit="1" customWidth="1"/>
    <col min="128" max="128" width="8.21875" bestFit="1" customWidth="1"/>
    <col min="129" max="129" width="11.21875" bestFit="1" customWidth="1"/>
    <col min="130" max="130" width="10.77734375" bestFit="1" customWidth="1"/>
  </cols>
  <sheetData>
    <row r="1" spans="1:2" x14ac:dyDescent="0.3">
      <c r="A1" s="4" t="s">
        <v>5</v>
      </c>
      <c r="B1" s="7" t="s">
        <v>379</v>
      </c>
    </row>
    <row r="2" spans="1:2" x14ac:dyDescent="0.3">
      <c r="A2" s="4" t="s">
        <v>6</v>
      </c>
      <c r="B2" s="7" t="s">
        <v>379</v>
      </c>
    </row>
    <row r="3" spans="1:2" x14ac:dyDescent="0.3">
      <c r="A3" s="4" t="s">
        <v>11</v>
      </c>
      <c r="B3" s="7" t="s">
        <v>380</v>
      </c>
    </row>
    <row r="5" spans="1:2" x14ac:dyDescent="0.3">
      <c r="A5" s="4" t="s">
        <v>373</v>
      </c>
      <c r="B5" t="s">
        <v>376</v>
      </c>
    </row>
    <row r="6" spans="1:2" x14ac:dyDescent="0.3">
      <c r="A6" s="7" t="s">
        <v>104</v>
      </c>
      <c r="B6" s="6">
        <v>5451040</v>
      </c>
    </row>
    <row r="7" spans="1:2" x14ac:dyDescent="0.3">
      <c r="A7" s="7" t="s">
        <v>37</v>
      </c>
      <c r="B7" s="6">
        <v>5224000</v>
      </c>
    </row>
    <row r="8" spans="1:2" x14ac:dyDescent="0.3">
      <c r="A8" s="7" t="s">
        <v>22</v>
      </c>
      <c r="B8" s="6">
        <v>4768750</v>
      </c>
    </row>
    <row r="9" spans="1:2" x14ac:dyDescent="0.3">
      <c r="A9" s="7" t="s">
        <v>48</v>
      </c>
      <c r="B9" s="6">
        <v>1817820</v>
      </c>
    </row>
    <row r="10" spans="1:2" x14ac:dyDescent="0.3">
      <c r="A10" s="7" t="s">
        <v>29</v>
      </c>
      <c r="B10" s="6">
        <v>1546575</v>
      </c>
    </row>
    <row r="11" spans="1:2" x14ac:dyDescent="0.3">
      <c r="A11" s="7" t="s">
        <v>90</v>
      </c>
      <c r="B11" s="6">
        <v>1102335</v>
      </c>
    </row>
    <row r="12" spans="1:2" x14ac:dyDescent="0.3">
      <c r="A12" s="7" t="s">
        <v>95</v>
      </c>
      <c r="B12" s="6">
        <v>840372</v>
      </c>
    </row>
    <row r="13" spans="1:2" x14ac:dyDescent="0.3">
      <c r="A13" s="7" t="s">
        <v>53</v>
      </c>
      <c r="B13" s="6">
        <v>680512</v>
      </c>
    </row>
    <row r="14" spans="1:2" x14ac:dyDescent="0.3">
      <c r="A14" s="7" t="s">
        <v>81</v>
      </c>
      <c r="B14" s="6">
        <v>385660</v>
      </c>
    </row>
    <row r="15" spans="1:2" x14ac:dyDescent="0.3">
      <c r="A15" s="7" t="s">
        <v>70</v>
      </c>
      <c r="B15" s="6">
        <v>244386</v>
      </c>
    </row>
    <row r="16" spans="1:2" x14ac:dyDescent="0.3">
      <c r="A16" s="7" t="s">
        <v>68</v>
      </c>
      <c r="B16" s="6">
        <v>225974</v>
      </c>
    </row>
    <row r="17" spans="1:2" x14ac:dyDescent="0.3">
      <c r="A17" s="7" t="s">
        <v>45</v>
      </c>
      <c r="B17" s="6">
        <v>200400</v>
      </c>
    </row>
    <row r="18" spans="1:2" x14ac:dyDescent="0.3">
      <c r="A18" s="7" t="s">
        <v>110</v>
      </c>
      <c r="B18" s="6">
        <v>126711</v>
      </c>
    </row>
    <row r="19" spans="1:2" x14ac:dyDescent="0.3">
      <c r="A19" s="7" t="s">
        <v>14</v>
      </c>
      <c r="B19" s="6">
        <v>115544</v>
      </c>
    </row>
    <row r="20" spans="1:2" x14ac:dyDescent="0.3">
      <c r="A20" s="7" t="s">
        <v>40</v>
      </c>
      <c r="B20" s="6">
        <v>26547</v>
      </c>
    </row>
    <row r="21" spans="1:2" x14ac:dyDescent="0.3">
      <c r="A21" s="7" t="s">
        <v>374</v>
      </c>
      <c r="B21" s="6">
        <v>22756626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rightToLeft="1" workbookViewId="0">
      <pane ySplit="1" topLeftCell="A2" activePane="bottomLeft" state="frozen"/>
      <selection pane="bottomLeft" activeCell="D12" sqref="D12"/>
    </sheetView>
  </sheetViews>
  <sheetFormatPr defaultRowHeight="14.4" x14ac:dyDescent="0.3"/>
  <cols>
    <col min="1" max="1" width="13.109375" bestFit="1" customWidth="1"/>
    <col min="2" max="2" width="14.33203125" bestFit="1" customWidth="1"/>
    <col min="3" max="3" width="18.109375" style="3" bestFit="1" customWidth="1"/>
    <col min="4" max="4" width="13.109375" bestFit="1" customWidth="1"/>
    <col min="5" max="5" width="9.6640625" bestFit="1" customWidth="1"/>
    <col min="6" max="6" width="11.88671875" bestFit="1" customWidth="1"/>
    <col min="7" max="7" width="12.21875" bestFit="1" customWidth="1"/>
    <col min="8" max="8" width="9.44140625" bestFit="1" customWidth="1"/>
    <col min="9" max="9" width="13.44140625" bestFit="1" customWidth="1"/>
    <col min="10" max="10" width="10.21875" bestFit="1" customWidth="1"/>
    <col min="11" max="11" width="13.77734375" bestFit="1" customWidth="1"/>
    <col min="12" max="12" width="13.33203125" bestFit="1" customWidth="1"/>
    <col min="13" max="13" width="13.109375" bestFit="1" customWidth="1"/>
    <col min="14" max="14" width="11.109375" bestFit="1" customWidth="1"/>
    <col min="15" max="15" width="12.77734375" bestFit="1" customWidth="1"/>
  </cols>
  <sheetData>
    <row r="1" spans="1:15" x14ac:dyDescent="0.3">
      <c r="A1" s="1" t="s">
        <v>0</v>
      </c>
      <c r="B1" s="1" t="s">
        <v>1</v>
      </c>
      <c r="C1" s="2" t="s">
        <v>2</v>
      </c>
      <c r="D1" s="1" t="s">
        <v>3</v>
      </c>
      <c r="E1" s="1" t="s">
        <v>4</v>
      </c>
      <c r="F1" s="1" t="s">
        <v>5</v>
      </c>
      <c r="G1" s="1" t="s">
        <v>6</v>
      </c>
      <c r="H1" s="1" t="s">
        <v>7</v>
      </c>
      <c r="I1" s="1" t="s">
        <v>8</v>
      </c>
      <c r="J1" s="1" t="s">
        <v>9</v>
      </c>
      <c r="K1" s="1" t="s">
        <v>10</v>
      </c>
      <c r="L1" s="1" t="s">
        <v>11</v>
      </c>
      <c r="M1" s="1" t="s">
        <v>12</v>
      </c>
      <c r="N1" s="1" t="s">
        <v>372</v>
      </c>
      <c r="O1" s="1" t="s">
        <v>375</v>
      </c>
    </row>
    <row r="2" spans="1:15" x14ac:dyDescent="0.3">
      <c r="A2">
        <v>10001</v>
      </c>
      <c r="B2" t="s">
        <v>13</v>
      </c>
      <c r="C2" s="3">
        <v>46094</v>
      </c>
      <c r="D2" t="s">
        <v>14</v>
      </c>
      <c r="E2" t="s">
        <v>15</v>
      </c>
      <c r="F2" t="s">
        <v>16</v>
      </c>
      <c r="G2" t="s">
        <v>17</v>
      </c>
      <c r="H2">
        <v>5</v>
      </c>
      <c r="I2">
        <v>650</v>
      </c>
      <c r="J2">
        <v>0.03</v>
      </c>
      <c r="K2" t="s">
        <v>18</v>
      </c>
      <c r="L2" t="s">
        <v>19</v>
      </c>
      <c r="M2" t="s">
        <v>20</v>
      </c>
      <c r="N2">
        <f>SalesTable[[#This Row],[الكمية]]*SalesTable[[#This Row],[سعر الوحدة]]</f>
        <v>3250</v>
      </c>
      <c r="O2">
        <f>SalesTable[[#This Row],[الكمية]]*SalesTable[[#This Row],[سعر الوحدة]]*(1-SalesTable[[#This Row],[الخصم]])</f>
        <v>3152.5</v>
      </c>
    </row>
    <row r="3" spans="1:15" x14ac:dyDescent="0.3">
      <c r="A3">
        <v>10002</v>
      </c>
      <c r="B3" t="s">
        <v>21</v>
      </c>
      <c r="C3" s="3">
        <v>46331</v>
      </c>
      <c r="D3" t="s">
        <v>22</v>
      </c>
      <c r="E3" t="s">
        <v>23</v>
      </c>
      <c r="F3" t="s">
        <v>24</v>
      </c>
      <c r="G3" t="s">
        <v>25</v>
      </c>
      <c r="H3">
        <v>4</v>
      </c>
      <c r="I3">
        <v>25000</v>
      </c>
      <c r="J3">
        <v>0.03</v>
      </c>
      <c r="K3" t="s">
        <v>18</v>
      </c>
      <c r="L3" t="s">
        <v>26</v>
      </c>
      <c r="M3" t="s">
        <v>27</v>
      </c>
      <c r="N3">
        <f>SalesTable[[#This Row],[الكمية]]*SalesTable[[#This Row],[سعر الوحدة]]</f>
        <v>100000</v>
      </c>
      <c r="O3">
        <f>SalesTable[[#This Row],[الكمية]]*SalesTable[[#This Row],[سعر الوحدة]]*(1-SalesTable[[#This Row],[الخصم]])</f>
        <v>97000</v>
      </c>
    </row>
    <row r="4" spans="1:15" x14ac:dyDescent="0.3">
      <c r="A4">
        <v>10003</v>
      </c>
      <c r="B4" t="s">
        <v>28</v>
      </c>
      <c r="C4" s="3">
        <v>46104</v>
      </c>
      <c r="D4" t="s">
        <v>29</v>
      </c>
      <c r="E4" t="s">
        <v>30</v>
      </c>
      <c r="F4" t="s">
        <v>31</v>
      </c>
      <c r="G4" t="s">
        <v>32</v>
      </c>
      <c r="H4">
        <v>10</v>
      </c>
      <c r="I4">
        <v>7500</v>
      </c>
      <c r="J4">
        <v>0.05</v>
      </c>
      <c r="K4" t="s">
        <v>33</v>
      </c>
      <c r="L4" t="s">
        <v>34</v>
      </c>
      <c r="M4" t="s">
        <v>35</v>
      </c>
      <c r="N4">
        <f>SalesTable[[#This Row],[الكمية]]*SalesTable[[#This Row],[سعر الوحدة]]</f>
        <v>75000</v>
      </c>
      <c r="O4">
        <f>SalesTable[[#This Row],[الكمية]]*SalesTable[[#This Row],[سعر الوحدة]]*(1-SalesTable[[#This Row],[الخصم]])</f>
        <v>71250</v>
      </c>
    </row>
    <row r="5" spans="1:15" x14ac:dyDescent="0.3">
      <c r="A5">
        <v>10004</v>
      </c>
      <c r="B5" t="s">
        <v>36</v>
      </c>
      <c r="C5" s="3">
        <v>46072</v>
      </c>
      <c r="D5" t="s">
        <v>37</v>
      </c>
      <c r="E5" t="s">
        <v>23</v>
      </c>
      <c r="F5" t="s">
        <v>31</v>
      </c>
      <c r="G5" t="s">
        <v>32</v>
      </c>
      <c r="H5">
        <v>2</v>
      </c>
      <c r="I5">
        <v>32000</v>
      </c>
      <c r="J5">
        <v>0</v>
      </c>
      <c r="K5" t="s">
        <v>38</v>
      </c>
      <c r="L5" t="s">
        <v>34</v>
      </c>
      <c r="M5" t="s">
        <v>39</v>
      </c>
      <c r="N5">
        <f>SalesTable[[#This Row],[الكمية]]*SalesTable[[#This Row],[سعر الوحدة]]</f>
        <v>64000</v>
      </c>
      <c r="O5">
        <f>SalesTable[[#This Row],[الكمية]]*SalesTable[[#This Row],[سعر الوحدة]]*(1-SalesTable[[#This Row],[الخصم]])</f>
        <v>64000</v>
      </c>
    </row>
    <row r="6" spans="1:15" x14ac:dyDescent="0.3">
      <c r="A6">
        <v>10005</v>
      </c>
      <c r="B6" t="s">
        <v>36</v>
      </c>
      <c r="C6" s="3">
        <v>46063</v>
      </c>
      <c r="D6" t="s">
        <v>40</v>
      </c>
      <c r="E6" t="s">
        <v>41</v>
      </c>
      <c r="F6" t="s">
        <v>24</v>
      </c>
      <c r="G6" t="s">
        <v>42</v>
      </c>
      <c r="H6">
        <v>9</v>
      </c>
      <c r="I6">
        <v>150</v>
      </c>
      <c r="J6">
        <v>0</v>
      </c>
      <c r="K6" t="s">
        <v>38</v>
      </c>
      <c r="L6" t="s">
        <v>34</v>
      </c>
      <c r="M6" t="s">
        <v>43</v>
      </c>
      <c r="N6">
        <f>SalesTable[[#This Row],[الكمية]]*SalesTable[[#This Row],[سعر الوحدة]]</f>
        <v>1350</v>
      </c>
      <c r="O6">
        <f>SalesTable[[#This Row],[الكمية]]*SalesTable[[#This Row],[سعر الوحدة]]*(1-SalesTable[[#This Row],[الخصم]])</f>
        <v>1350</v>
      </c>
    </row>
    <row r="7" spans="1:15" x14ac:dyDescent="0.3">
      <c r="A7">
        <v>10006</v>
      </c>
      <c r="B7" t="s">
        <v>44</v>
      </c>
      <c r="C7" s="3">
        <v>46142</v>
      </c>
      <c r="D7" t="s">
        <v>45</v>
      </c>
      <c r="E7" t="s">
        <v>46</v>
      </c>
      <c r="F7" t="s">
        <v>16</v>
      </c>
      <c r="G7" t="s">
        <v>17</v>
      </c>
      <c r="H7">
        <v>4</v>
      </c>
      <c r="I7">
        <v>1200</v>
      </c>
      <c r="J7">
        <v>0.05</v>
      </c>
      <c r="K7" t="s">
        <v>18</v>
      </c>
      <c r="L7" t="s">
        <v>47</v>
      </c>
      <c r="M7" t="s">
        <v>35</v>
      </c>
      <c r="N7">
        <f>SalesTable[[#This Row],[الكمية]]*SalesTable[[#This Row],[سعر الوحدة]]</f>
        <v>4800</v>
      </c>
      <c r="O7">
        <f>SalesTable[[#This Row],[الكمية]]*SalesTable[[#This Row],[سعر الوحدة]]*(1-SalesTable[[#This Row],[الخصم]])</f>
        <v>4560</v>
      </c>
    </row>
    <row r="8" spans="1:15" x14ac:dyDescent="0.3">
      <c r="A8">
        <v>10007</v>
      </c>
      <c r="B8" t="s">
        <v>13</v>
      </c>
      <c r="C8" s="3">
        <v>46366</v>
      </c>
      <c r="D8" t="s">
        <v>48</v>
      </c>
      <c r="E8" t="s">
        <v>30</v>
      </c>
      <c r="F8" t="s">
        <v>49</v>
      </c>
      <c r="G8" t="s">
        <v>50</v>
      </c>
      <c r="H8">
        <v>6</v>
      </c>
      <c r="I8">
        <v>9000</v>
      </c>
      <c r="J8">
        <v>0.05</v>
      </c>
      <c r="K8" t="s">
        <v>38</v>
      </c>
      <c r="L8" t="s">
        <v>19</v>
      </c>
      <c r="M8" t="s">
        <v>51</v>
      </c>
      <c r="N8">
        <f>SalesTable[[#This Row],[الكمية]]*SalesTable[[#This Row],[سعر الوحدة]]</f>
        <v>54000</v>
      </c>
      <c r="O8">
        <f>SalesTable[[#This Row],[الكمية]]*SalesTable[[#This Row],[سعر الوحدة]]*(1-SalesTable[[#This Row],[الخصم]])</f>
        <v>51300</v>
      </c>
    </row>
    <row r="9" spans="1:15" x14ac:dyDescent="0.3">
      <c r="A9">
        <v>10008</v>
      </c>
      <c r="B9" t="s">
        <v>52</v>
      </c>
      <c r="C9" s="3">
        <v>46350</v>
      </c>
      <c r="D9" t="s">
        <v>53</v>
      </c>
      <c r="E9" t="s">
        <v>15</v>
      </c>
      <c r="F9" t="s">
        <v>31</v>
      </c>
      <c r="G9" t="s">
        <v>54</v>
      </c>
      <c r="H9">
        <v>8</v>
      </c>
      <c r="I9">
        <v>3200</v>
      </c>
      <c r="J9">
        <v>7.0000000000000007E-2</v>
      </c>
      <c r="K9" t="s">
        <v>55</v>
      </c>
      <c r="L9" t="s">
        <v>34</v>
      </c>
      <c r="M9" t="s">
        <v>56</v>
      </c>
      <c r="N9">
        <f>SalesTable[[#This Row],[الكمية]]*SalesTable[[#This Row],[سعر الوحدة]]</f>
        <v>25600</v>
      </c>
      <c r="O9">
        <f>SalesTable[[#This Row],[الكمية]]*SalesTable[[#This Row],[سعر الوحدة]]*(1-SalesTable[[#This Row],[الخصم]])</f>
        <v>23808</v>
      </c>
    </row>
    <row r="10" spans="1:15" x14ac:dyDescent="0.3">
      <c r="A10">
        <v>10009</v>
      </c>
      <c r="B10" t="s">
        <v>44</v>
      </c>
      <c r="C10" s="3">
        <v>46131</v>
      </c>
      <c r="D10" t="s">
        <v>45</v>
      </c>
      <c r="E10" t="s">
        <v>46</v>
      </c>
      <c r="F10" t="s">
        <v>24</v>
      </c>
      <c r="G10" t="s">
        <v>57</v>
      </c>
      <c r="H10">
        <v>7</v>
      </c>
      <c r="I10">
        <v>1200</v>
      </c>
      <c r="J10">
        <v>0.05</v>
      </c>
      <c r="K10" t="s">
        <v>38</v>
      </c>
      <c r="L10" t="s">
        <v>26</v>
      </c>
      <c r="M10" t="s">
        <v>58</v>
      </c>
      <c r="N10">
        <f>SalesTable[[#This Row],[الكمية]]*SalesTable[[#This Row],[سعر الوحدة]]</f>
        <v>8400</v>
      </c>
      <c r="O10">
        <f>SalesTable[[#This Row],[الكمية]]*SalesTable[[#This Row],[سعر الوحدة]]*(1-SalesTable[[#This Row],[الخصم]])</f>
        <v>7980</v>
      </c>
    </row>
    <row r="11" spans="1:15" x14ac:dyDescent="0.3">
      <c r="A11">
        <v>10010</v>
      </c>
      <c r="B11" t="s">
        <v>13</v>
      </c>
      <c r="C11" s="3">
        <v>46310</v>
      </c>
      <c r="D11" t="s">
        <v>29</v>
      </c>
      <c r="E11" t="s">
        <v>30</v>
      </c>
      <c r="F11" t="s">
        <v>59</v>
      </c>
      <c r="G11" t="s">
        <v>60</v>
      </c>
      <c r="H11">
        <v>5</v>
      </c>
      <c r="I11">
        <v>7500</v>
      </c>
      <c r="J11">
        <v>0.03</v>
      </c>
      <c r="K11" t="s">
        <v>38</v>
      </c>
      <c r="L11" t="s">
        <v>47</v>
      </c>
      <c r="M11" t="s">
        <v>61</v>
      </c>
      <c r="N11">
        <f>SalesTable[[#This Row],[الكمية]]*SalesTable[[#This Row],[سعر الوحدة]]</f>
        <v>37500</v>
      </c>
      <c r="O11">
        <f>SalesTable[[#This Row],[الكمية]]*SalesTable[[#This Row],[سعر الوحدة]]*(1-SalesTable[[#This Row],[الخصم]])</f>
        <v>36375</v>
      </c>
    </row>
    <row r="12" spans="1:15" x14ac:dyDescent="0.3">
      <c r="A12">
        <v>10011</v>
      </c>
      <c r="B12" t="s">
        <v>62</v>
      </c>
      <c r="C12" s="3">
        <v>46069</v>
      </c>
      <c r="D12" t="s">
        <v>29</v>
      </c>
      <c r="E12" t="s">
        <v>30</v>
      </c>
      <c r="F12" t="s">
        <v>49</v>
      </c>
      <c r="G12" t="s">
        <v>50</v>
      </c>
      <c r="H12">
        <v>3</v>
      </c>
      <c r="I12">
        <v>7500</v>
      </c>
      <c r="J12">
        <v>0.1</v>
      </c>
      <c r="K12" t="s">
        <v>18</v>
      </c>
      <c r="L12" t="s">
        <v>19</v>
      </c>
      <c r="M12" t="s">
        <v>63</v>
      </c>
      <c r="N12">
        <f>SalesTable[[#This Row],[الكمية]]*SalesTable[[#This Row],[سعر الوحدة]]</f>
        <v>22500</v>
      </c>
      <c r="O12">
        <f>SalesTable[[#This Row],[الكمية]]*SalesTable[[#This Row],[سعر الوحدة]]*(1-SalesTable[[#This Row],[الخصم]])</f>
        <v>20250</v>
      </c>
    </row>
    <row r="13" spans="1:15" x14ac:dyDescent="0.3">
      <c r="A13">
        <v>10012</v>
      </c>
      <c r="B13" t="s">
        <v>36</v>
      </c>
      <c r="C13" s="3">
        <v>46218</v>
      </c>
      <c r="D13" t="s">
        <v>14</v>
      </c>
      <c r="E13" t="s">
        <v>15</v>
      </c>
      <c r="F13" t="s">
        <v>64</v>
      </c>
      <c r="G13" t="s">
        <v>65</v>
      </c>
      <c r="H13">
        <v>10</v>
      </c>
      <c r="I13">
        <v>650</v>
      </c>
      <c r="J13">
        <v>0</v>
      </c>
      <c r="K13" t="s">
        <v>33</v>
      </c>
      <c r="L13" t="s">
        <v>34</v>
      </c>
      <c r="M13" t="s">
        <v>66</v>
      </c>
      <c r="N13">
        <f>SalesTable[[#This Row],[الكمية]]*SalesTable[[#This Row],[سعر الوحدة]]</f>
        <v>6500</v>
      </c>
      <c r="O13">
        <f>SalesTable[[#This Row],[الكمية]]*SalesTable[[#This Row],[سعر الوحدة]]*(1-SalesTable[[#This Row],[الخصم]])</f>
        <v>6500</v>
      </c>
    </row>
    <row r="14" spans="1:15" x14ac:dyDescent="0.3">
      <c r="A14">
        <v>10013</v>
      </c>
      <c r="B14" t="s">
        <v>67</v>
      </c>
      <c r="C14" s="3">
        <v>46080</v>
      </c>
      <c r="D14" t="s">
        <v>68</v>
      </c>
      <c r="E14" t="s">
        <v>46</v>
      </c>
      <c r="F14" t="s">
        <v>24</v>
      </c>
      <c r="G14" t="s">
        <v>25</v>
      </c>
      <c r="H14">
        <v>9</v>
      </c>
      <c r="I14">
        <v>1400</v>
      </c>
      <c r="J14">
        <v>0.05</v>
      </c>
      <c r="K14" t="s">
        <v>38</v>
      </c>
      <c r="L14" t="s">
        <v>47</v>
      </c>
      <c r="M14" t="s">
        <v>69</v>
      </c>
      <c r="N14">
        <f>SalesTable[[#This Row],[الكمية]]*SalesTable[[#This Row],[سعر الوحدة]]</f>
        <v>12600</v>
      </c>
      <c r="O14">
        <f>SalesTable[[#This Row],[الكمية]]*SalesTable[[#This Row],[سعر الوحدة]]*(1-SalesTable[[#This Row],[الخصم]])</f>
        <v>11970</v>
      </c>
    </row>
    <row r="15" spans="1:15" x14ac:dyDescent="0.3">
      <c r="A15">
        <v>10014</v>
      </c>
      <c r="B15" t="s">
        <v>21</v>
      </c>
      <c r="C15" s="3">
        <v>46077</v>
      </c>
      <c r="D15" t="s">
        <v>48</v>
      </c>
      <c r="E15" t="s">
        <v>30</v>
      </c>
      <c r="F15" t="s">
        <v>24</v>
      </c>
      <c r="G15" t="s">
        <v>57</v>
      </c>
      <c r="H15">
        <v>9</v>
      </c>
      <c r="I15">
        <v>9000</v>
      </c>
      <c r="J15">
        <v>0.03</v>
      </c>
      <c r="K15" t="s">
        <v>38</v>
      </c>
      <c r="L15" t="s">
        <v>26</v>
      </c>
      <c r="M15" t="s">
        <v>63</v>
      </c>
      <c r="N15">
        <f>SalesTable[[#This Row],[الكمية]]*SalesTable[[#This Row],[سعر الوحدة]]</f>
        <v>81000</v>
      </c>
      <c r="O15">
        <f>SalesTable[[#This Row],[الكمية]]*SalesTable[[#This Row],[سعر الوحدة]]*(1-SalesTable[[#This Row],[الخصم]])</f>
        <v>78570</v>
      </c>
    </row>
    <row r="16" spans="1:15" x14ac:dyDescent="0.3">
      <c r="A16">
        <v>10015</v>
      </c>
      <c r="B16" t="s">
        <v>62</v>
      </c>
      <c r="C16" s="3">
        <v>46032</v>
      </c>
      <c r="D16" t="s">
        <v>70</v>
      </c>
      <c r="E16" t="s">
        <v>46</v>
      </c>
      <c r="F16" t="s">
        <v>64</v>
      </c>
      <c r="G16" t="s">
        <v>71</v>
      </c>
      <c r="H16">
        <v>10</v>
      </c>
      <c r="I16">
        <v>1800</v>
      </c>
      <c r="J16">
        <v>0.05</v>
      </c>
      <c r="K16" t="s">
        <v>18</v>
      </c>
      <c r="L16" t="s">
        <v>34</v>
      </c>
      <c r="M16" t="s">
        <v>72</v>
      </c>
      <c r="N16">
        <f>SalesTable[[#This Row],[الكمية]]*SalesTable[[#This Row],[سعر الوحدة]]</f>
        <v>18000</v>
      </c>
      <c r="O16">
        <f>SalesTable[[#This Row],[الكمية]]*SalesTable[[#This Row],[سعر الوحدة]]*(1-SalesTable[[#This Row],[الخصم]])</f>
        <v>17100</v>
      </c>
    </row>
    <row r="17" spans="1:15" x14ac:dyDescent="0.3">
      <c r="A17">
        <v>10016</v>
      </c>
      <c r="B17" t="s">
        <v>44</v>
      </c>
      <c r="C17" s="3">
        <v>46271</v>
      </c>
      <c r="D17" t="s">
        <v>45</v>
      </c>
      <c r="E17" t="s">
        <v>46</v>
      </c>
      <c r="F17" t="s">
        <v>24</v>
      </c>
      <c r="G17" t="s">
        <v>73</v>
      </c>
      <c r="H17">
        <v>10</v>
      </c>
      <c r="I17">
        <v>1200</v>
      </c>
      <c r="J17">
        <v>0</v>
      </c>
      <c r="K17" t="s">
        <v>18</v>
      </c>
      <c r="L17" t="s">
        <v>26</v>
      </c>
      <c r="M17" t="s">
        <v>74</v>
      </c>
      <c r="N17">
        <f>SalesTable[[#This Row],[الكمية]]*SalesTable[[#This Row],[سعر الوحدة]]</f>
        <v>12000</v>
      </c>
      <c r="O17">
        <f>SalesTable[[#This Row],[الكمية]]*SalesTable[[#This Row],[سعر الوحدة]]*(1-SalesTable[[#This Row],[الخصم]])</f>
        <v>12000</v>
      </c>
    </row>
    <row r="18" spans="1:15" x14ac:dyDescent="0.3">
      <c r="A18">
        <v>10017</v>
      </c>
      <c r="B18" t="s">
        <v>21</v>
      </c>
      <c r="C18" s="3">
        <v>46333</v>
      </c>
      <c r="D18" t="s">
        <v>14</v>
      </c>
      <c r="E18" t="s">
        <v>15</v>
      </c>
      <c r="F18" t="s">
        <v>59</v>
      </c>
      <c r="G18" t="s">
        <v>75</v>
      </c>
      <c r="H18">
        <v>3</v>
      </c>
      <c r="I18">
        <v>650</v>
      </c>
      <c r="J18">
        <v>0.05</v>
      </c>
      <c r="K18" t="s">
        <v>33</v>
      </c>
      <c r="L18" t="s">
        <v>26</v>
      </c>
      <c r="M18" t="s">
        <v>76</v>
      </c>
      <c r="N18">
        <f>SalesTable[[#This Row],[الكمية]]*SalesTable[[#This Row],[سعر الوحدة]]</f>
        <v>1950</v>
      </c>
      <c r="O18">
        <f>SalesTable[[#This Row],[الكمية]]*SalesTable[[#This Row],[سعر الوحدة]]*(1-SalesTable[[#This Row],[الخصم]])</f>
        <v>1852.5</v>
      </c>
    </row>
    <row r="19" spans="1:15" x14ac:dyDescent="0.3">
      <c r="A19">
        <v>10018</v>
      </c>
      <c r="B19" t="s">
        <v>67</v>
      </c>
      <c r="C19" s="3">
        <v>46247</v>
      </c>
      <c r="D19" t="s">
        <v>40</v>
      </c>
      <c r="E19" t="s">
        <v>41</v>
      </c>
      <c r="F19" t="s">
        <v>31</v>
      </c>
      <c r="G19" t="s">
        <v>77</v>
      </c>
      <c r="H19">
        <v>5</v>
      </c>
      <c r="I19">
        <v>150</v>
      </c>
      <c r="J19">
        <v>7.0000000000000007E-2</v>
      </c>
      <c r="K19" t="s">
        <v>33</v>
      </c>
      <c r="L19" t="s">
        <v>19</v>
      </c>
      <c r="M19" t="s">
        <v>78</v>
      </c>
      <c r="N19">
        <f>SalesTable[[#This Row],[الكمية]]*SalesTable[[#This Row],[سعر الوحدة]]</f>
        <v>750</v>
      </c>
      <c r="O19">
        <f>SalesTable[[#This Row],[الكمية]]*SalesTable[[#This Row],[سعر الوحدة]]*(1-SalesTable[[#This Row],[الخصم]])</f>
        <v>697.5</v>
      </c>
    </row>
    <row r="20" spans="1:15" x14ac:dyDescent="0.3">
      <c r="A20">
        <v>10019</v>
      </c>
      <c r="B20" t="s">
        <v>21</v>
      </c>
      <c r="C20" s="3">
        <v>46140</v>
      </c>
      <c r="D20" t="s">
        <v>45</v>
      </c>
      <c r="E20" t="s">
        <v>46</v>
      </c>
      <c r="F20" t="s">
        <v>16</v>
      </c>
      <c r="G20" t="s">
        <v>79</v>
      </c>
      <c r="H20">
        <v>1</v>
      </c>
      <c r="I20">
        <v>1200</v>
      </c>
      <c r="J20">
        <v>0.1</v>
      </c>
      <c r="K20" t="s">
        <v>55</v>
      </c>
      <c r="L20" t="s">
        <v>19</v>
      </c>
      <c r="M20" t="s">
        <v>80</v>
      </c>
      <c r="N20">
        <f>SalesTable[[#This Row],[الكمية]]*SalesTable[[#This Row],[سعر الوحدة]]</f>
        <v>1200</v>
      </c>
      <c r="O20">
        <f>SalesTable[[#This Row],[الكمية]]*SalesTable[[#This Row],[سعر الوحدة]]*(1-SalesTable[[#This Row],[الخصم]])</f>
        <v>1080</v>
      </c>
    </row>
    <row r="21" spans="1:15" x14ac:dyDescent="0.3">
      <c r="A21">
        <v>10020</v>
      </c>
      <c r="B21" t="s">
        <v>67</v>
      </c>
      <c r="C21" s="3">
        <v>46059</v>
      </c>
      <c r="D21" t="s">
        <v>81</v>
      </c>
      <c r="E21" t="s">
        <v>41</v>
      </c>
      <c r="F21" t="s">
        <v>24</v>
      </c>
      <c r="G21" t="s">
        <v>73</v>
      </c>
      <c r="H21">
        <v>2</v>
      </c>
      <c r="I21">
        <v>2200</v>
      </c>
      <c r="J21">
        <v>0</v>
      </c>
      <c r="K21" t="s">
        <v>55</v>
      </c>
      <c r="L21" t="s">
        <v>34</v>
      </c>
      <c r="M21" t="s">
        <v>82</v>
      </c>
      <c r="N21">
        <f>SalesTable[[#This Row],[الكمية]]*SalesTable[[#This Row],[سعر الوحدة]]</f>
        <v>4400</v>
      </c>
      <c r="O21">
        <f>SalesTable[[#This Row],[الكمية]]*SalesTable[[#This Row],[سعر الوحدة]]*(1-SalesTable[[#This Row],[الخصم]])</f>
        <v>4400</v>
      </c>
    </row>
    <row r="22" spans="1:15" x14ac:dyDescent="0.3">
      <c r="A22">
        <v>10021</v>
      </c>
      <c r="B22" t="s">
        <v>36</v>
      </c>
      <c r="C22" s="3">
        <v>46120</v>
      </c>
      <c r="D22" t="s">
        <v>45</v>
      </c>
      <c r="E22" t="s">
        <v>46</v>
      </c>
      <c r="F22" t="s">
        <v>64</v>
      </c>
      <c r="G22" t="s">
        <v>65</v>
      </c>
      <c r="H22">
        <v>4</v>
      </c>
      <c r="I22">
        <v>1200</v>
      </c>
      <c r="J22">
        <v>7.0000000000000007E-2</v>
      </c>
      <c r="K22" t="s">
        <v>18</v>
      </c>
      <c r="L22" t="s">
        <v>19</v>
      </c>
      <c r="M22" t="s">
        <v>83</v>
      </c>
      <c r="N22">
        <f>SalesTable[[#This Row],[الكمية]]*SalesTable[[#This Row],[سعر الوحدة]]</f>
        <v>4800</v>
      </c>
      <c r="O22">
        <f>SalesTable[[#This Row],[الكمية]]*SalesTable[[#This Row],[سعر الوحدة]]*(1-SalesTable[[#This Row],[الخصم]])</f>
        <v>4464</v>
      </c>
    </row>
    <row r="23" spans="1:15" x14ac:dyDescent="0.3">
      <c r="A23">
        <v>10022</v>
      </c>
      <c r="B23" t="s">
        <v>28</v>
      </c>
      <c r="C23" s="3">
        <v>46367</v>
      </c>
      <c r="D23" t="s">
        <v>70</v>
      </c>
      <c r="E23" t="s">
        <v>46</v>
      </c>
      <c r="F23" t="s">
        <v>84</v>
      </c>
      <c r="G23" t="s">
        <v>85</v>
      </c>
      <c r="H23">
        <v>8</v>
      </c>
      <c r="I23">
        <v>1800</v>
      </c>
      <c r="J23">
        <v>0.15</v>
      </c>
      <c r="K23" t="s">
        <v>18</v>
      </c>
      <c r="L23" t="s">
        <v>19</v>
      </c>
      <c r="M23" t="s">
        <v>86</v>
      </c>
      <c r="N23">
        <f>SalesTable[[#This Row],[الكمية]]*SalesTable[[#This Row],[سعر الوحدة]]</f>
        <v>14400</v>
      </c>
      <c r="O23">
        <f>SalesTable[[#This Row],[الكمية]]*SalesTable[[#This Row],[سعر الوحدة]]*(1-SalesTable[[#This Row],[الخصم]])</f>
        <v>12240</v>
      </c>
    </row>
    <row r="24" spans="1:15" x14ac:dyDescent="0.3">
      <c r="A24">
        <v>10023</v>
      </c>
      <c r="B24" t="s">
        <v>13</v>
      </c>
      <c r="C24" s="3">
        <v>46297</v>
      </c>
      <c r="D24" t="s">
        <v>81</v>
      </c>
      <c r="E24" t="s">
        <v>41</v>
      </c>
      <c r="F24" t="s">
        <v>49</v>
      </c>
      <c r="G24" t="s">
        <v>50</v>
      </c>
      <c r="H24">
        <v>4</v>
      </c>
      <c r="I24">
        <v>2200</v>
      </c>
      <c r="J24">
        <v>0.03</v>
      </c>
      <c r="K24" t="s">
        <v>33</v>
      </c>
      <c r="L24" t="s">
        <v>26</v>
      </c>
      <c r="M24" t="s">
        <v>20</v>
      </c>
      <c r="N24">
        <f>SalesTable[[#This Row],[الكمية]]*SalesTable[[#This Row],[سعر الوحدة]]</f>
        <v>8800</v>
      </c>
      <c r="O24">
        <f>SalesTable[[#This Row],[الكمية]]*SalesTable[[#This Row],[سعر الوحدة]]*(1-SalesTable[[#This Row],[الخصم]])</f>
        <v>8536</v>
      </c>
    </row>
    <row r="25" spans="1:15" x14ac:dyDescent="0.3">
      <c r="A25">
        <v>10024</v>
      </c>
      <c r="B25" t="s">
        <v>62</v>
      </c>
      <c r="C25" s="3">
        <v>46304</v>
      </c>
      <c r="D25" t="s">
        <v>37</v>
      </c>
      <c r="E25" t="s">
        <v>23</v>
      </c>
      <c r="F25" t="s">
        <v>87</v>
      </c>
      <c r="G25" t="s">
        <v>88</v>
      </c>
      <c r="H25">
        <v>4</v>
      </c>
      <c r="I25">
        <v>32000</v>
      </c>
      <c r="J25">
        <v>0</v>
      </c>
      <c r="K25" t="s">
        <v>18</v>
      </c>
      <c r="L25" t="s">
        <v>19</v>
      </c>
      <c r="M25" t="s">
        <v>76</v>
      </c>
      <c r="N25">
        <f>SalesTable[[#This Row],[الكمية]]*SalesTable[[#This Row],[سعر الوحدة]]</f>
        <v>128000</v>
      </c>
      <c r="O25">
        <f>SalesTable[[#This Row],[الكمية]]*SalesTable[[#This Row],[سعر الوحدة]]*(1-SalesTable[[#This Row],[الخصم]])</f>
        <v>128000</v>
      </c>
    </row>
    <row r="26" spans="1:15" x14ac:dyDescent="0.3">
      <c r="A26">
        <v>10025</v>
      </c>
      <c r="B26" t="s">
        <v>36</v>
      </c>
      <c r="C26" s="3">
        <v>46271</v>
      </c>
      <c r="D26" t="s">
        <v>68</v>
      </c>
      <c r="E26" t="s">
        <v>46</v>
      </c>
      <c r="F26" t="s">
        <v>24</v>
      </c>
      <c r="G26" t="s">
        <v>25</v>
      </c>
      <c r="H26">
        <v>4</v>
      </c>
      <c r="I26">
        <v>1400</v>
      </c>
      <c r="J26">
        <v>0.03</v>
      </c>
      <c r="K26" t="s">
        <v>33</v>
      </c>
      <c r="L26" t="s">
        <v>26</v>
      </c>
      <c r="M26" t="s">
        <v>89</v>
      </c>
      <c r="N26">
        <f>SalesTable[[#This Row],[الكمية]]*SalesTable[[#This Row],[سعر الوحدة]]</f>
        <v>5600</v>
      </c>
      <c r="O26">
        <f>SalesTable[[#This Row],[الكمية]]*SalesTable[[#This Row],[سعر الوحدة]]*(1-SalesTable[[#This Row],[الخصم]])</f>
        <v>5432</v>
      </c>
    </row>
    <row r="27" spans="1:15" x14ac:dyDescent="0.3">
      <c r="A27">
        <v>10026</v>
      </c>
      <c r="B27" t="s">
        <v>36</v>
      </c>
      <c r="C27" s="3">
        <v>46158</v>
      </c>
      <c r="D27" t="s">
        <v>90</v>
      </c>
      <c r="E27" t="s">
        <v>91</v>
      </c>
      <c r="F27" t="s">
        <v>24</v>
      </c>
      <c r="G27" t="s">
        <v>73</v>
      </c>
      <c r="H27">
        <v>7</v>
      </c>
      <c r="I27">
        <v>6500</v>
      </c>
      <c r="J27">
        <v>0</v>
      </c>
      <c r="K27" t="s">
        <v>33</v>
      </c>
      <c r="L27" t="s">
        <v>34</v>
      </c>
      <c r="M27" t="s">
        <v>20</v>
      </c>
      <c r="N27">
        <f>SalesTable[[#This Row],[الكمية]]*SalesTable[[#This Row],[سعر الوحدة]]</f>
        <v>45500</v>
      </c>
      <c r="O27">
        <f>SalesTable[[#This Row],[الكمية]]*SalesTable[[#This Row],[سعر الوحدة]]*(1-SalesTable[[#This Row],[الخصم]])</f>
        <v>45500</v>
      </c>
    </row>
    <row r="28" spans="1:15" x14ac:dyDescent="0.3">
      <c r="A28">
        <v>10027</v>
      </c>
      <c r="B28" t="s">
        <v>13</v>
      </c>
      <c r="C28" s="3">
        <v>46052</v>
      </c>
      <c r="D28" t="s">
        <v>81</v>
      </c>
      <c r="E28" t="s">
        <v>41</v>
      </c>
      <c r="F28" t="s">
        <v>59</v>
      </c>
      <c r="G28" t="s">
        <v>60</v>
      </c>
      <c r="H28">
        <v>4</v>
      </c>
      <c r="I28">
        <v>2200</v>
      </c>
      <c r="J28">
        <v>0.05</v>
      </c>
      <c r="K28" t="s">
        <v>18</v>
      </c>
      <c r="L28" t="s">
        <v>34</v>
      </c>
      <c r="M28" t="s">
        <v>92</v>
      </c>
      <c r="N28">
        <f>SalesTable[[#This Row],[الكمية]]*SalesTable[[#This Row],[سعر الوحدة]]</f>
        <v>8800</v>
      </c>
      <c r="O28">
        <f>SalesTable[[#This Row],[الكمية]]*SalesTable[[#This Row],[سعر الوحدة]]*(1-SalesTable[[#This Row],[الخصم]])</f>
        <v>8360</v>
      </c>
    </row>
    <row r="29" spans="1:15" x14ac:dyDescent="0.3">
      <c r="A29">
        <v>10028</v>
      </c>
      <c r="B29" t="s">
        <v>28</v>
      </c>
      <c r="C29" s="3">
        <v>46283</v>
      </c>
      <c r="D29" t="s">
        <v>22</v>
      </c>
      <c r="E29" t="s">
        <v>23</v>
      </c>
      <c r="F29" t="s">
        <v>59</v>
      </c>
      <c r="G29" t="s">
        <v>75</v>
      </c>
      <c r="H29">
        <v>9</v>
      </c>
      <c r="I29">
        <v>25000</v>
      </c>
      <c r="J29">
        <v>0.03</v>
      </c>
      <c r="K29" t="s">
        <v>18</v>
      </c>
      <c r="L29" t="s">
        <v>26</v>
      </c>
      <c r="M29" t="s">
        <v>93</v>
      </c>
      <c r="N29">
        <f>SalesTable[[#This Row],[الكمية]]*SalesTable[[#This Row],[سعر الوحدة]]</f>
        <v>225000</v>
      </c>
      <c r="O29">
        <f>SalesTable[[#This Row],[الكمية]]*SalesTable[[#This Row],[سعر الوحدة]]*(1-SalesTable[[#This Row],[الخصم]])</f>
        <v>218250</v>
      </c>
    </row>
    <row r="30" spans="1:15" x14ac:dyDescent="0.3">
      <c r="A30">
        <v>10029</v>
      </c>
      <c r="B30" t="s">
        <v>94</v>
      </c>
      <c r="C30" s="3">
        <v>46149</v>
      </c>
      <c r="D30" t="s">
        <v>95</v>
      </c>
      <c r="E30" t="s">
        <v>15</v>
      </c>
      <c r="F30" t="s">
        <v>16</v>
      </c>
      <c r="G30" t="s">
        <v>96</v>
      </c>
      <c r="H30">
        <v>7</v>
      </c>
      <c r="I30">
        <v>5200</v>
      </c>
      <c r="J30">
        <v>0</v>
      </c>
      <c r="K30" t="s">
        <v>18</v>
      </c>
      <c r="L30" t="s">
        <v>19</v>
      </c>
      <c r="M30" t="s">
        <v>97</v>
      </c>
      <c r="N30">
        <f>SalesTable[[#This Row],[الكمية]]*SalesTable[[#This Row],[سعر الوحدة]]</f>
        <v>36400</v>
      </c>
      <c r="O30">
        <f>SalesTable[[#This Row],[الكمية]]*SalesTable[[#This Row],[سعر الوحدة]]*(1-SalesTable[[#This Row],[الخصم]])</f>
        <v>36400</v>
      </c>
    </row>
    <row r="31" spans="1:15" x14ac:dyDescent="0.3">
      <c r="A31">
        <v>10030</v>
      </c>
      <c r="B31" t="s">
        <v>67</v>
      </c>
      <c r="C31" s="3">
        <v>46145</v>
      </c>
      <c r="D31" t="s">
        <v>14</v>
      </c>
      <c r="E31" t="s">
        <v>15</v>
      </c>
      <c r="F31" t="s">
        <v>49</v>
      </c>
      <c r="G31" t="s">
        <v>98</v>
      </c>
      <c r="H31">
        <v>4</v>
      </c>
      <c r="I31">
        <v>650</v>
      </c>
      <c r="J31">
        <v>0.15</v>
      </c>
      <c r="K31" t="s">
        <v>38</v>
      </c>
      <c r="L31" t="s">
        <v>47</v>
      </c>
      <c r="M31" t="s">
        <v>99</v>
      </c>
      <c r="N31">
        <f>SalesTable[[#This Row],[الكمية]]*SalesTable[[#This Row],[سعر الوحدة]]</f>
        <v>2600</v>
      </c>
      <c r="O31">
        <f>SalesTable[[#This Row],[الكمية]]*SalesTable[[#This Row],[سعر الوحدة]]*(1-SalesTable[[#This Row],[الخصم]])</f>
        <v>2210</v>
      </c>
    </row>
    <row r="32" spans="1:15" x14ac:dyDescent="0.3">
      <c r="A32">
        <v>10031</v>
      </c>
      <c r="B32" t="s">
        <v>28</v>
      </c>
      <c r="C32" s="3">
        <v>46257</v>
      </c>
      <c r="D32" t="s">
        <v>14</v>
      </c>
      <c r="E32" t="s">
        <v>15</v>
      </c>
      <c r="F32" t="s">
        <v>87</v>
      </c>
      <c r="G32" t="s">
        <v>88</v>
      </c>
      <c r="H32">
        <v>6</v>
      </c>
      <c r="I32">
        <v>650</v>
      </c>
      <c r="J32">
        <v>0</v>
      </c>
      <c r="K32" t="s">
        <v>18</v>
      </c>
      <c r="L32" t="s">
        <v>19</v>
      </c>
      <c r="M32" t="s">
        <v>100</v>
      </c>
      <c r="N32">
        <f>SalesTable[[#This Row],[الكمية]]*SalesTable[[#This Row],[سعر الوحدة]]</f>
        <v>3900</v>
      </c>
      <c r="O32">
        <f>SalesTable[[#This Row],[الكمية]]*SalesTable[[#This Row],[سعر الوحدة]]*(1-SalesTable[[#This Row],[الخصم]])</f>
        <v>3900</v>
      </c>
    </row>
    <row r="33" spans="1:15" x14ac:dyDescent="0.3">
      <c r="A33">
        <v>10032</v>
      </c>
      <c r="B33" t="s">
        <v>13</v>
      </c>
      <c r="C33" s="3">
        <v>46212</v>
      </c>
      <c r="D33" t="s">
        <v>45</v>
      </c>
      <c r="E33" t="s">
        <v>46</v>
      </c>
      <c r="F33" t="s">
        <v>87</v>
      </c>
      <c r="G33" t="s">
        <v>101</v>
      </c>
      <c r="H33">
        <v>6</v>
      </c>
      <c r="I33">
        <v>1200</v>
      </c>
      <c r="J33">
        <v>0</v>
      </c>
      <c r="K33" t="s">
        <v>38</v>
      </c>
      <c r="L33" t="s">
        <v>26</v>
      </c>
      <c r="M33" t="s">
        <v>102</v>
      </c>
      <c r="N33">
        <f>SalesTable[[#This Row],[الكمية]]*SalesTable[[#This Row],[سعر الوحدة]]</f>
        <v>7200</v>
      </c>
      <c r="O33">
        <f>SalesTable[[#This Row],[الكمية]]*SalesTable[[#This Row],[سعر الوحدة]]*(1-SalesTable[[#This Row],[الخصم]])</f>
        <v>7200</v>
      </c>
    </row>
    <row r="34" spans="1:15" x14ac:dyDescent="0.3">
      <c r="A34">
        <v>10033</v>
      </c>
      <c r="B34" t="s">
        <v>21</v>
      </c>
      <c r="C34" s="3">
        <v>46176</v>
      </c>
      <c r="D34" t="s">
        <v>68</v>
      </c>
      <c r="E34" t="s">
        <v>46</v>
      </c>
      <c r="F34" t="s">
        <v>87</v>
      </c>
      <c r="G34" t="s">
        <v>103</v>
      </c>
      <c r="H34">
        <v>9</v>
      </c>
      <c r="I34">
        <v>1400</v>
      </c>
      <c r="J34">
        <v>0</v>
      </c>
      <c r="K34" t="s">
        <v>18</v>
      </c>
      <c r="L34" t="s">
        <v>26</v>
      </c>
      <c r="M34" t="s">
        <v>39</v>
      </c>
      <c r="N34">
        <f>SalesTable[[#This Row],[الكمية]]*SalesTable[[#This Row],[سعر الوحدة]]</f>
        <v>12600</v>
      </c>
      <c r="O34">
        <f>SalesTable[[#This Row],[الكمية]]*SalesTable[[#This Row],[سعر الوحدة]]*(1-SalesTable[[#This Row],[الخصم]])</f>
        <v>12600</v>
      </c>
    </row>
    <row r="35" spans="1:15" x14ac:dyDescent="0.3">
      <c r="A35">
        <v>10034</v>
      </c>
      <c r="B35" t="s">
        <v>94</v>
      </c>
      <c r="C35" s="3">
        <v>46130</v>
      </c>
      <c r="D35" t="s">
        <v>104</v>
      </c>
      <c r="E35" t="s">
        <v>23</v>
      </c>
      <c r="F35" t="s">
        <v>16</v>
      </c>
      <c r="G35" t="s">
        <v>96</v>
      </c>
      <c r="H35">
        <v>5</v>
      </c>
      <c r="I35">
        <v>28000</v>
      </c>
      <c r="J35">
        <v>0.05</v>
      </c>
      <c r="K35" t="s">
        <v>38</v>
      </c>
      <c r="L35" t="s">
        <v>26</v>
      </c>
      <c r="M35" t="s">
        <v>39</v>
      </c>
      <c r="N35">
        <f>SalesTable[[#This Row],[الكمية]]*SalesTable[[#This Row],[سعر الوحدة]]</f>
        <v>140000</v>
      </c>
      <c r="O35">
        <f>SalesTable[[#This Row],[الكمية]]*SalesTable[[#This Row],[سعر الوحدة]]*(1-SalesTable[[#This Row],[الخصم]])</f>
        <v>133000</v>
      </c>
    </row>
    <row r="36" spans="1:15" x14ac:dyDescent="0.3">
      <c r="A36">
        <v>10035</v>
      </c>
      <c r="B36" t="s">
        <v>36</v>
      </c>
      <c r="C36" s="3">
        <v>46164</v>
      </c>
      <c r="D36" t="s">
        <v>53</v>
      </c>
      <c r="E36" t="s">
        <v>15</v>
      </c>
      <c r="F36" t="s">
        <v>59</v>
      </c>
      <c r="G36" t="s">
        <v>105</v>
      </c>
      <c r="H36">
        <v>1</v>
      </c>
      <c r="I36">
        <v>3200</v>
      </c>
      <c r="J36">
        <v>0</v>
      </c>
      <c r="K36" t="s">
        <v>18</v>
      </c>
      <c r="L36" t="s">
        <v>19</v>
      </c>
      <c r="M36" t="s">
        <v>106</v>
      </c>
      <c r="N36">
        <f>SalesTable[[#This Row],[الكمية]]*SalesTable[[#This Row],[سعر الوحدة]]</f>
        <v>3200</v>
      </c>
      <c r="O36">
        <f>SalesTable[[#This Row],[الكمية]]*SalesTable[[#This Row],[سعر الوحدة]]*(1-SalesTable[[#This Row],[الخصم]])</f>
        <v>3200</v>
      </c>
    </row>
    <row r="37" spans="1:15" x14ac:dyDescent="0.3">
      <c r="A37">
        <v>10036</v>
      </c>
      <c r="B37" t="s">
        <v>62</v>
      </c>
      <c r="C37" s="3">
        <v>46305</v>
      </c>
      <c r="D37" t="s">
        <v>40</v>
      </c>
      <c r="E37" t="s">
        <v>41</v>
      </c>
      <c r="F37" t="s">
        <v>64</v>
      </c>
      <c r="G37" t="s">
        <v>107</v>
      </c>
      <c r="H37">
        <v>3</v>
      </c>
      <c r="I37">
        <v>150</v>
      </c>
      <c r="J37">
        <v>0.15</v>
      </c>
      <c r="K37" t="s">
        <v>33</v>
      </c>
      <c r="L37" t="s">
        <v>19</v>
      </c>
      <c r="M37" t="s">
        <v>108</v>
      </c>
      <c r="N37">
        <f>SalesTable[[#This Row],[الكمية]]*SalesTable[[#This Row],[سعر الوحدة]]</f>
        <v>450</v>
      </c>
      <c r="O37">
        <f>SalesTable[[#This Row],[الكمية]]*SalesTable[[#This Row],[سعر الوحدة]]*(1-SalesTable[[#This Row],[الخصم]])</f>
        <v>382.5</v>
      </c>
    </row>
    <row r="38" spans="1:15" x14ac:dyDescent="0.3">
      <c r="A38">
        <v>10037</v>
      </c>
      <c r="B38" t="s">
        <v>21</v>
      </c>
      <c r="C38" s="3">
        <v>46098</v>
      </c>
      <c r="D38" t="s">
        <v>104</v>
      </c>
      <c r="E38" t="s">
        <v>23</v>
      </c>
      <c r="F38" t="s">
        <v>64</v>
      </c>
      <c r="G38" t="s">
        <v>71</v>
      </c>
      <c r="H38">
        <v>6</v>
      </c>
      <c r="I38">
        <v>28000</v>
      </c>
      <c r="J38">
        <v>0.1</v>
      </c>
      <c r="K38" t="s">
        <v>33</v>
      </c>
      <c r="L38" t="s">
        <v>26</v>
      </c>
      <c r="M38" t="s">
        <v>109</v>
      </c>
      <c r="N38">
        <f>SalesTable[[#This Row],[الكمية]]*SalesTable[[#This Row],[سعر الوحدة]]</f>
        <v>168000</v>
      </c>
      <c r="O38">
        <f>SalesTable[[#This Row],[الكمية]]*SalesTable[[#This Row],[سعر الوحدة]]*(1-SalesTable[[#This Row],[الخصم]])</f>
        <v>151200</v>
      </c>
    </row>
    <row r="39" spans="1:15" x14ac:dyDescent="0.3">
      <c r="A39">
        <v>10038</v>
      </c>
      <c r="B39" t="s">
        <v>13</v>
      </c>
      <c r="C39" s="3">
        <v>46364</v>
      </c>
      <c r="D39" t="s">
        <v>110</v>
      </c>
      <c r="E39" t="s">
        <v>46</v>
      </c>
      <c r="F39" t="s">
        <v>49</v>
      </c>
      <c r="G39" t="s">
        <v>50</v>
      </c>
      <c r="H39">
        <v>6</v>
      </c>
      <c r="I39">
        <v>450</v>
      </c>
      <c r="J39">
        <v>0.03</v>
      </c>
      <c r="K39" t="s">
        <v>18</v>
      </c>
      <c r="L39" t="s">
        <v>34</v>
      </c>
      <c r="M39" t="s">
        <v>111</v>
      </c>
      <c r="N39">
        <f>SalesTable[[#This Row],[الكمية]]*SalesTable[[#This Row],[سعر الوحدة]]</f>
        <v>2700</v>
      </c>
      <c r="O39">
        <f>SalesTable[[#This Row],[الكمية]]*SalesTable[[#This Row],[سعر الوحدة]]*(1-SalesTable[[#This Row],[الخصم]])</f>
        <v>2619</v>
      </c>
    </row>
    <row r="40" spans="1:15" x14ac:dyDescent="0.3">
      <c r="A40">
        <v>10039</v>
      </c>
      <c r="B40" t="s">
        <v>112</v>
      </c>
      <c r="C40" s="3">
        <v>46113</v>
      </c>
      <c r="D40" t="s">
        <v>90</v>
      </c>
      <c r="E40" t="s">
        <v>91</v>
      </c>
      <c r="F40" t="s">
        <v>84</v>
      </c>
      <c r="G40" t="s">
        <v>113</v>
      </c>
      <c r="H40">
        <v>3</v>
      </c>
      <c r="I40">
        <v>6500</v>
      </c>
      <c r="J40">
        <v>0.03</v>
      </c>
      <c r="K40" t="s">
        <v>33</v>
      </c>
      <c r="L40" t="s">
        <v>19</v>
      </c>
      <c r="M40" t="s">
        <v>114</v>
      </c>
      <c r="N40">
        <f>SalesTable[[#This Row],[الكمية]]*SalesTable[[#This Row],[سعر الوحدة]]</f>
        <v>19500</v>
      </c>
      <c r="O40">
        <f>SalesTable[[#This Row],[الكمية]]*SalesTable[[#This Row],[سعر الوحدة]]*(1-SalesTable[[#This Row],[الخصم]])</f>
        <v>18915</v>
      </c>
    </row>
    <row r="41" spans="1:15" x14ac:dyDescent="0.3">
      <c r="A41">
        <v>10040</v>
      </c>
      <c r="B41" t="s">
        <v>112</v>
      </c>
      <c r="C41" s="3">
        <v>46382</v>
      </c>
      <c r="D41" t="s">
        <v>81</v>
      </c>
      <c r="E41" t="s">
        <v>41</v>
      </c>
      <c r="F41" t="s">
        <v>49</v>
      </c>
      <c r="G41" t="s">
        <v>98</v>
      </c>
      <c r="H41">
        <v>4</v>
      </c>
      <c r="I41">
        <v>2200</v>
      </c>
      <c r="J41">
        <v>0.05</v>
      </c>
      <c r="K41" t="s">
        <v>18</v>
      </c>
      <c r="L41" t="s">
        <v>47</v>
      </c>
      <c r="M41" t="s">
        <v>115</v>
      </c>
      <c r="N41">
        <f>SalesTable[[#This Row],[الكمية]]*SalesTable[[#This Row],[سعر الوحدة]]</f>
        <v>8800</v>
      </c>
      <c r="O41">
        <f>SalesTable[[#This Row],[الكمية]]*SalesTable[[#This Row],[سعر الوحدة]]*(1-SalesTable[[#This Row],[الخصم]])</f>
        <v>8360</v>
      </c>
    </row>
    <row r="42" spans="1:15" x14ac:dyDescent="0.3">
      <c r="A42">
        <v>10041</v>
      </c>
      <c r="B42" t="s">
        <v>67</v>
      </c>
      <c r="C42" s="3">
        <v>46179</v>
      </c>
      <c r="D42" t="s">
        <v>68</v>
      </c>
      <c r="E42" t="s">
        <v>46</v>
      </c>
      <c r="F42" t="s">
        <v>59</v>
      </c>
      <c r="G42" t="s">
        <v>60</v>
      </c>
      <c r="H42">
        <v>4</v>
      </c>
      <c r="I42">
        <v>1400</v>
      </c>
      <c r="J42">
        <v>7.0000000000000007E-2</v>
      </c>
      <c r="K42" t="s">
        <v>55</v>
      </c>
      <c r="L42" t="s">
        <v>26</v>
      </c>
      <c r="M42" t="s">
        <v>116</v>
      </c>
      <c r="N42">
        <f>SalesTable[[#This Row],[الكمية]]*SalesTable[[#This Row],[سعر الوحدة]]</f>
        <v>5600</v>
      </c>
      <c r="O42">
        <f>SalesTable[[#This Row],[الكمية]]*SalesTable[[#This Row],[سعر الوحدة]]*(1-SalesTable[[#This Row],[الخصم]])</f>
        <v>5208</v>
      </c>
    </row>
    <row r="43" spans="1:15" x14ac:dyDescent="0.3">
      <c r="A43">
        <v>10042</v>
      </c>
      <c r="B43" t="s">
        <v>44</v>
      </c>
      <c r="C43" s="3">
        <v>46165</v>
      </c>
      <c r="D43" t="s">
        <v>14</v>
      </c>
      <c r="E43" t="s">
        <v>15</v>
      </c>
      <c r="F43" t="s">
        <v>31</v>
      </c>
      <c r="G43" t="s">
        <v>32</v>
      </c>
      <c r="H43">
        <v>6</v>
      </c>
      <c r="I43">
        <v>650</v>
      </c>
      <c r="J43">
        <v>0.05</v>
      </c>
      <c r="K43" t="s">
        <v>38</v>
      </c>
      <c r="L43" t="s">
        <v>47</v>
      </c>
      <c r="M43" t="s">
        <v>117</v>
      </c>
      <c r="N43">
        <f>SalesTable[[#This Row],[الكمية]]*SalesTable[[#This Row],[سعر الوحدة]]</f>
        <v>3900</v>
      </c>
      <c r="O43">
        <f>SalesTable[[#This Row],[الكمية]]*SalesTable[[#This Row],[سعر الوحدة]]*(1-SalesTable[[#This Row],[الخصم]])</f>
        <v>3705</v>
      </c>
    </row>
    <row r="44" spans="1:15" x14ac:dyDescent="0.3">
      <c r="A44">
        <v>10043</v>
      </c>
      <c r="B44" t="s">
        <v>94</v>
      </c>
      <c r="C44" s="3">
        <v>46158</v>
      </c>
      <c r="D44" t="s">
        <v>70</v>
      </c>
      <c r="E44" t="s">
        <v>46</v>
      </c>
      <c r="F44" t="s">
        <v>24</v>
      </c>
      <c r="G44" t="s">
        <v>25</v>
      </c>
      <c r="H44">
        <v>5</v>
      </c>
      <c r="I44">
        <v>1800</v>
      </c>
      <c r="J44">
        <v>0.03</v>
      </c>
      <c r="K44" t="s">
        <v>18</v>
      </c>
      <c r="L44" t="s">
        <v>19</v>
      </c>
      <c r="M44" t="s">
        <v>118</v>
      </c>
      <c r="N44">
        <f>SalesTable[[#This Row],[الكمية]]*SalesTable[[#This Row],[سعر الوحدة]]</f>
        <v>9000</v>
      </c>
      <c r="O44">
        <f>SalesTable[[#This Row],[الكمية]]*SalesTable[[#This Row],[سعر الوحدة]]*(1-SalesTable[[#This Row],[الخصم]])</f>
        <v>8730</v>
      </c>
    </row>
    <row r="45" spans="1:15" x14ac:dyDescent="0.3">
      <c r="A45">
        <v>10044</v>
      </c>
      <c r="B45" t="s">
        <v>44</v>
      </c>
      <c r="C45" s="3">
        <v>46220</v>
      </c>
      <c r="D45" t="s">
        <v>70</v>
      </c>
      <c r="E45" t="s">
        <v>46</v>
      </c>
      <c r="F45" t="s">
        <v>49</v>
      </c>
      <c r="G45" t="s">
        <v>98</v>
      </c>
      <c r="H45">
        <v>10</v>
      </c>
      <c r="I45">
        <v>1800</v>
      </c>
      <c r="J45">
        <v>0.1</v>
      </c>
      <c r="K45" t="s">
        <v>55</v>
      </c>
      <c r="L45" t="s">
        <v>34</v>
      </c>
      <c r="M45" t="s">
        <v>119</v>
      </c>
      <c r="N45">
        <f>SalesTable[[#This Row],[الكمية]]*SalesTable[[#This Row],[سعر الوحدة]]</f>
        <v>18000</v>
      </c>
      <c r="O45">
        <f>SalesTable[[#This Row],[الكمية]]*SalesTable[[#This Row],[سعر الوحدة]]*(1-SalesTable[[#This Row],[الخصم]])</f>
        <v>16200</v>
      </c>
    </row>
    <row r="46" spans="1:15" x14ac:dyDescent="0.3">
      <c r="A46">
        <v>10045</v>
      </c>
      <c r="B46" t="s">
        <v>13</v>
      </c>
      <c r="C46" s="3">
        <v>46209</v>
      </c>
      <c r="D46" t="s">
        <v>81</v>
      </c>
      <c r="E46" t="s">
        <v>41</v>
      </c>
      <c r="F46" t="s">
        <v>84</v>
      </c>
      <c r="G46" t="s">
        <v>120</v>
      </c>
      <c r="H46">
        <v>9</v>
      </c>
      <c r="I46">
        <v>2200</v>
      </c>
      <c r="J46">
        <v>0.1</v>
      </c>
      <c r="K46" t="s">
        <v>33</v>
      </c>
      <c r="L46" t="s">
        <v>19</v>
      </c>
      <c r="M46" t="s">
        <v>121</v>
      </c>
      <c r="N46">
        <f>SalesTable[[#This Row],[الكمية]]*SalesTable[[#This Row],[سعر الوحدة]]</f>
        <v>19800</v>
      </c>
      <c r="O46">
        <f>SalesTable[[#This Row],[الكمية]]*SalesTable[[#This Row],[سعر الوحدة]]*(1-SalesTable[[#This Row],[الخصم]])</f>
        <v>17820</v>
      </c>
    </row>
    <row r="47" spans="1:15" x14ac:dyDescent="0.3">
      <c r="A47">
        <v>10046</v>
      </c>
      <c r="B47" t="s">
        <v>52</v>
      </c>
      <c r="C47" s="3">
        <v>46282</v>
      </c>
      <c r="D47" t="s">
        <v>95</v>
      </c>
      <c r="E47" t="s">
        <v>15</v>
      </c>
      <c r="F47" t="s">
        <v>49</v>
      </c>
      <c r="G47" t="s">
        <v>122</v>
      </c>
      <c r="H47">
        <v>2</v>
      </c>
      <c r="I47">
        <v>5200</v>
      </c>
      <c r="J47">
        <v>0.15</v>
      </c>
      <c r="K47" t="s">
        <v>38</v>
      </c>
      <c r="L47" t="s">
        <v>47</v>
      </c>
      <c r="M47" t="s">
        <v>123</v>
      </c>
      <c r="N47">
        <f>SalesTable[[#This Row],[الكمية]]*SalesTable[[#This Row],[سعر الوحدة]]</f>
        <v>10400</v>
      </c>
      <c r="O47">
        <f>SalesTable[[#This Row],[الكمية]]*SalesTable[[#This Row],[سعر الوحدة]]*(1-SalesTable[[#This Row],[الخصم]])</f>
        <v>8840</v>
      </c>
    </row>
    <row r="48" spans="1:15" x14ac:dyDescent="0.3">
      <c r="A48">
        <v>10047</v>
      </c>
      <c r="B48" t="s">
        <v>36</v>
      </c>
      <c r="C48" s="3">
        <v>46363</v>
      </c>
      <c r="D48" t="s">
        <v>29</v>
      </c>
      <c r="E48" t="s">
        <v>30</v>
      </c>
      <c r="F48" t="s">
        <v>87</v>
      </c>
      <c r="G48" t="s">
        <v>103</v>
      </c>
      <c r="H48">
        <v>3</v>
      </c>
      <c r="I48">
        <v>7500</v>
      </c>
      <c r="J48">
        <v>0.03</v>
      </c>
      <c r="K48" t="s">
        <v>33</v>
      </c>
      <c r="L48" t="s">
        <v>26</v>
      </c>
      <c r="M48" t="s">
        <v>124</v>
      </c>
      <c r="N48">
        <f>SalesTable[[#This Row],[الكمية]]*SalesTable[[#This Row],[سعر الوحدة]]</f>
        <v>22500</v>
      </c>
      <c r="O48">
        <f>SalesTable[[#This Row],[الكمية]]*SalesTable[[#This Row],[سعر الوحدة]]*(1-SalesTable[[#This Row],[الخصم]])</f>
        <v>21825</v>
      </c>
    </row>
    <row r="49" spans="1:15" x14ac:dyDescent="0.3">
      <c r="A49">
        <v>10048</v>
      </c>
      <c r="B49" t="s">
        <v>52</v>
      </c>
      <c r="C49" s="3">
        <v>46130</v>
      </c>
      <c r="D49" t="s">
        <v>110</v>
      </c>
      <c r="E49" t="s">
        <v>46</v>
      </c>
      <c r="F49" t="s">
        <v>84</v>
      </c>
      <c r="G49" t="s">
        <v>113</v>
      </c>
      <c r="H49">
        <v>1</v>
      </c>
      <c r="I49">
        <v>450</v>
      </c>
      <c r="J49">
        <v>0.05</v>
      </c>
      <c r="K49" t="s">
        <v>33</v>
      </c>
      <c r="L49" t="s">
        <v>34</v>
      </c>
      <c r="M49" t="s">
        <v>125</v>
      </c>
      <c r="N49">
        <f>SalesTable[[#This Row],[الكمية]]*SalesTable[[#This Row],[سعر الوحدة]]</f>
        <v>450</v>
      </c>
      <c r="O49">
        <f>SalesTable[[#This Row],[الكمية]]*SalesTable[[#This Row],[سعر الوحدة]]*(1-SalesTable[[#This Row],[الخصم]])</f>
        <v>427.5</v>
      </c>
    </row>
    <row r="50" spans="1:15" x14ac:dyDescent="0.3">
      <c r="A50">
        <v>10049</v>
      </c>
      <c r="B50" t="s">
        <v>62</v>
      </c>
      <c r="C50" s="3">
        <v>46109</v>
      </c>
      <c r="D50" t="s">
        <v>48</v>
      </c>
      <c r="E50" t="s">
        <v>30</v>
      </c>
      <c r="F50" t="s">
        <v>59</v>
      </c>
      <c r="G50" t="s">
        <v>75</v>
      </c>
      <c r="H50">
        <v>4</v>
      </c>
      <c r="I50">
        <v>9000</v>
      </c>
      <c r="J50">
        <v>0.1</v>
      </c>
      <c r="K50" t="s">
        <v>18</v>
      </c>
      <c r="L50" t="s">
        <v>34</v>
      </c>
      <c r="M50" t="s">
        <v>126</v>
      </c>
      <c r="N50">
        <f>SalesTable[[#This Row],[الكمية]]*SalesTable[[#This Row],[سعر الوحدة]]</f>
        <v>36000</v>
      </c>
      <c r="O50">
        <f>SalesTable[[#This Row],[الكمية]]*SalesTable[[#This Row],[سعر الوحدة]]*(1-SalesTable[[#This Row],[الخصم]])</f>
        <v>32400</v>
      </c>
    </row>
    <row r="51" spans="1:15" x14ac:dyDescent="0.3">
      <c r="A51">
        <v>10050</v>
      </c>
      <c r="B51" t="s">
        <v>52</v>
      </c>
      <c r="C51" s="3">
        <v>46138</v>
      </c>
      <c r="D51" t="s">
        <v>14</v>
      </c>
      <c r="E51" t="s">
        <v>15</v>
      </c>
      <c r="F51" t="s">
        <v>49</v>
      </c>
      <c r="G51" t="s">
        <v>50</v>
      </c>
      <c r="H51">
        <v>4</v>
      </c>
      <c r="I51">
        <v>650</v>
      </c>
      <c r="J51">
        <v>0.15</v>
      </c>
      <c r="K51" t="s">
        <v>55</v>
      </c>
      <c r="L51" t="s">
        <v>26</v>
      </c>
      <c r="M51" t="s">
        <v>116</v>
      </c>
      <c r="N51">
        <f>SalesTable[[#This Row],[الكمية]]*SalesTable[[#This Row],[سعر الوحدة]]</f>
        <v>2600</v>
      </c>
      <c r="O51">
        <f>SalesTable[[#This Row],[الكمية]]*SalesTable[[#This Row],[سعر الوحدة]]*(1-SalesTable[[#This Row],[الخصم]])</f>
        <v>2210</v>
      </c>
    </row>
    <row r="52" spans="1:15" x14ac:dyDescent="0.3">
      <c r="A52">
        <v>10051</v>
      </c>
      <c r="B52" t="s">
        <v>62</v>
      </c>
      <c r="C52" s="3">
        <v>46235</v>
      </c>
      <c r="D52" t="s">
        <v>22</v>
      </c>
      <c r="E52" t="s">
        <v>23</v>
      </c>
      <c r="F52" t="s">
        <v>31</v>
      </c>
      <c r="G52" t="s">
        <v>32</v>
      </c>
      <c r="H52">
        <v>10</v>
      </c>
      <c r="I52">
        <v>25000</v>
      </c>
      <c r="J52">
        <v>0</v>
      </c>
      <c r="K52" t="s">
        <v>55</v>
      </c>
      <c r="L52" t="s">
        <v>47</v>
      </c>
      <c r="M52" t="s">
        <v>127</v>
      </c>
      <c r="N52">
        <f>SalesTable[[#This Row],[الكمية]]*SalesTable[[#This Row],[سعر الوحدة]]</f>
        <v>250000</v>
      </c>
      <c r="O52">
        <f>SalesTable[[#This Row],[الكمية]]*SalesTable[[#This Row],[سعر الوحدة]]*(1-SalesTable[[#This Row],[الخصم]])</f>
        <v>250000</v>
      </c>
    </row>
    <row r="53" spans="1:15" x14ac:dyDescent="0.3">
      <c r="A53">
        <v>10052</v>
      </c>
      <c r="B53" t="s">
        <v>36</v>
      </c>
      <c r="C53" s="3">
        <v>46135</v>
      </c>
      <c r="D53" t="s">
        <v>29</v>
      </c>
      <c r="E53" t="s">
        <v>30</v>
      </c>
      <c r="F53" t="s">
        <v>31</v>
      </c>
      <c r="G53" t="s">
        <v>54</v>
      </c>
      <c r="H53">
        <v>1</v>
      </c>
      <c r="I53">
        <v>7500</v>
      </c>
      <c r="J53">
        <v>0</v>
      </c>
      <c r="K53" t="s">
        <v>55</v>
      </c>
      <c r="L53" t="s">
        <v>47</v>
      </c>
      <c r="M53" t="s">
        <v>128</v>
      </c>
      <c r="N53">
        <f>SalesTable[[#This Row],[الكمية]]*SalesTable[[#This Row],[سعر الوحدة]]</f>
        <v>7500</v>
      </c>
      <c r="O53">
        <f>SalesTable[[#This Row],[الكمية]]*SalesTable[[#This Row],[سعر الوحدة]]*(1-SalesTable[[#This Row],[الخصم]])</f>
        <v>7500</v>
      </c>
    </row>
    <row r="54" spans="1:15" x14ac:dyDescent="0.3">
      <c r="A54">
        <v>10053</v>
      </c>
      <c r="B54" t="s">
        <v>62</v>
      </c>
      <c r="C54" s="3">
        <v>46364</v>
      </c>
      <c r="D54" t="s">
        <v>53</v>
      </c>
      <c r="E54" t="s">
        <v>15</v>
      </c>
      <c r="F54" t="s">
        <v>31</v>
      </c>
      <c r="G54" t="s">
        <v>54</v>
      </c>
      <c r="H54">
        <v>8</v>
      </c>
      <c r="I54">
        <v>3200</v>
      </c>
      <c r="J54">
        <v>0.03</v>
      </c>
      <c r="K54" t="s">
        <v>38</v>
      </c>
      <c r="L54" t="s">
        <v>47</v>
      </c>
      <c r="M54" t="s">
        <v>129</v>
      </c>
      <c r="N54">
        <f>SalesTable[[#This Row],[الكمية]]*SalesTable[[#This Row],[سعر الوحدة]]</f>
        <v>25600</v>
      </c>
      <c r="O54">
        <f>SalesTable[[#This Row],[الكمية]]*SalesTable[[#This Row],[سعر الوحدة]]*(1-SalesTable[[#This Row],[الخصم]])</f>
        <v>24832</v>
      </c>
    </row>
    <row r="55" spans="1:15" x14ac:dyDescent="0.3">
      <c r="A55">
        <v>10054</v>
      </c>
      <c r="B55" t="s">
        <v>52</v>
      </c>
      <c r="C55" s="3">
        <v>46149</v>
      </c>
      <c r="D55" t="s">
        <v>29</v>
      </c>
      <c r="E55" t="s">
        <v>30</v>
      </c>
      <c r="F55" t="s">
        <v>59</v>
      </c>
      <c r="G55" t="s">
        <v>60</v>
      </c>
      <c r="H55">
        <v>8</v>
      </c>
      <c r="I55">
        <v>7500</v>
      </c>
      <c r="J55">
        <v>7.0000000000000007E-2</v>
      </c>
      <c r="K55" t="s">
        <v>38</v>
      </c>
      <c r="L55" t="s">
        <v>47</v>
      </c>
      <c r="M55" t="s">
        <v>130</v>
      </c>
      <c r="N55">
        <f>SalesTable[[#This Row],[الكمية]]*SalesTable[[#This Row],[سعر الوحدة]]</f>
        <v>60000</v>
      </c>
      <c r="O55">
        <f>SalesTable[[#This Row],[الكمية]]*SalesTable[[#This Row],[سعر الوحدة]]*(1-SalesTable[[#This Row],[الخصم]])</f>
        <v>55799.999999999993</v>
      </c>
    </row>
    <row r="56" spans="1:15" x14ac:dyDescent="0.3">
      <c r="A56">
        <v>10055</v>
      </c>
      <c r="B56" t="s">
        <v>52</v>
      </c>
      <c r="C56" s="3">
        <v>46194</v>
      </c>
      <c r="D56" t="s">
        <v>110</v>
      </c>
      <c r="E56" t="s">
        <v>46</v>
      </c>
      <c r="F56" t="s">
        <v>59</v>
      </c>
      <c r="G56" t="s">
        <v>60</v>
      </c>
      <c r="H56">
        <v>5</v>
      </c>
      <c r="I56">
        <v>450</v>
      </c>
      <c r="J56">
        <v>0.03</v>
      </c>
      <c r="K56" t="s">
        <v>38</v>
      </c>
      <c r="L56" t="s">
        <v>19</v>
      </c>
      <c r="M56" t="s">
        <v>131</v>
      </c>
      <c r="N56">
        <f>SalesTable[[#This Row],[الكمية]]*SalesTable[[#This Row],[سعر الوحدة]]</f>
        <v>2250</v>
      </c>
      <c r="O56">
        <f>SalesTable[[#This Row],[الكمية]]*SalesTable[[#This Row],[سعر الوحدة]]*(1-SalesTable[[#This Row],[الخصم]])</f>
        <v>2182.5</v>
      </c>
    </row>
    <row r="57" spans="1:15" x14ac:dyDescent="0.3">
      <c r="A57">
        <v>10056</v>
      </c>
      <c r="B57" t="s">
        <v>13</v>
      </c>
      <c r="C57" s="3">
        <v>46055</v>
      </c>
      <c r="D57" t="s">
        <v>37</v>
      </c>
      <c r="E57" t="s">
        <v>23</v>
      </c>
      <c r="F57" t="s">
        <v>31</v>
      </c>
      <c r="G57" t="s">
        <v>32</v>
      </c>
      <c r="H57">
        <v>3</v>
      </c>
      <c r="I57">
        <v>32000</v>
      </c>
      <c r="J57">
        <v>0.15</v>
      </c>
      <c r="K57" t="s">
        <v>33</v>
      </c>
      <c r="L57" t="s">
        <v>47</v>
      </c>
      <c r="M57" t="s">
        <v>121</v>
      </c>
      <c r="N57">
        <f>SalesTable[[#This Row],[الكمية]]*SalesTable[[#This Row],[سعر الوحدة]]</f>
        <v>96000</v>
      </c>
      <c r="O57">
        <f>SalesTable[[#This Row],[الكمية]]*SalesTable[[#This Row],[سعر الوحدة]]*(1-SalesTable[[#This Row],[الخصم]])</f>
        <v>81600</v>
      </c>
    </row>
    <row r="58" spans="1:15" x14ac:dyDescent="0.3">
      <c r="A58">
        <v>10057</v>
      </c>
      <c r="B58" t="s">
        <v>36</v>
      </c>
      <c r="C58" s="3">
        <v>46222</v>
      </c>
      <c r="D58" t="s">
        <v>53</v>
      </c>
      <c r="E58" t="s">
        <v>15</v>
      </c>
      <c r="F58" t="s">
        <v>59</v>
      </c>
      <c r="G58" t="s">
        <v>105</v>
      </c>
      <c r="H58">
        <v>1</v>
      </c>
      <c r="I58">
        <v>3200</v>
      </c>
      <c r="J58">
        <v>0.03</v>
      </c>
      <c r="K58" t="s">
        <v>18</v>
      </c>
      <c r="L58" t="s">
        <v>47</v>
      </c>
      <c r="M58" t="s">
        <v>132</v>
      </c>
      <c r="N58">
        <f>SalesTable[[#This Row],[الكمية]]*SalesTable[[#This Row],[سعر الوحدة]]</f>
        <v>3200</v>
      </c>
      <c r="O58">
        <f>SalesTable[[#This Row],[الكمية]]*SalesTable[[#This Row],[سعر الوحدة]]*(1-SalesTable[[#This Row],[الخصم]])</f>
        <v>3104</v>
      </c>
    </row>
    <row r="59" spans="1:15" x14ac:dyDescent="0.3">
      <c r="A59">
        <v>10058</v>
      </c>
      <c r="B59" t="s">
        <v>21</v>
      </c>
      <c r="C59" s="3">
        <v>46302</v>
      </c>
      <c r="D59" t="s">
        <v>22</v>
      </c>
      <c r="E59" t="s">
        <v>23</v>
      </c>
      <c r="F59" t="s">
        <v>49</v>
      </c>
      <c r="G59" t="s">
        <v>98</v>
      </c>
      <c r="H59">
        <v>7</v>
      </c>
      <c r="I59">
        <v>25000</v>
      </c>
      <c r="J59">
        <v>7.0000000000000007E-2</v>
      </c>
      <c r="K59" t="s">
        <v>55</v>
      </c>
      <c r="L59" t="s">
        <v>47</v>
      </c>
      <c r="M59" t="s">
        <v>133</v>
      </c>
      <c r="N59">
        <f>SalesTable[[#This Row],[الكمية]]*SalesTable[[#This Row],[سعر الوحدة]]</f>
        <v>175000</v>
      </c>
      <c r="O59">
        <f>SalesTable[[#This Row],[الكمية]]*SalesTable[[#This Row],[سعر الوحدة]]*(1-SalesTable[[#This Row],[الخصم]])</f>
        <v>162750</v>
      </c>
    </row>
    <row r="60" spans="1:15" x14ac:dyDescent="0.3">
      <c r="A60">
        <v>10059</v>
      </c>
      <c r="B60" t="s">
        <v>67</v>
      </c>
      <c r="C60" s="3">
        <v>46365</v>
      </c>
      <c r="D60" t="s">
        <v>110</v>
      </c>
      <c r="E60" t="s">
        <v>46</v>
      </c>
      <c r="F60" t="s">
        <v>84</v>
      </c>
      <c r="G60" t="s">
        <v>85</v>
      </c>
      <c r="H60">
        <v>1</v>
      </c>
      <c r="I60">
        <v>450</v>
      </c>
      <c r="J60">
        <v>7.0000000000000007E-2</v>
      </c>
      <c r="K60" t="s">
        <v>33</v>
      </c>
      <c r="L60" t="s">
        <v>26</v>
      </c>
      <c r="M60" t="s">
        <v>134</v>
      </c>
      <c r="N60">
        <f>SalesTable[[#This Row],[الكمية]]*SalesTable[[#This Row],[سعر الوحدة]]</f>
        <v>450</v>
      </c>
      <c r="O60">
        <f>SalesTable[[#This Row],[الكمية]]*SalesTable[[#This Row],[سعر الوحدة]]*(1-SalesTable[[#This Row],[الخصم]])</f>
        <v>418.5</v>
      </c>
    </row>
    <row r="61" spans="1:15" x14ac:dyDescent="0.3">
      <c r="A61">
        <v>10060</v>
      </c>
      <c r="B61" t="s">
        <v>94</v>
      </c>
      <c r="C61" s="3">
        <v>46362</v>
      </c>
      <c r="D61" t="s">
        <v>90</v>
      </c>
      <c r="E61" t="s">
        <v>91</v>
      </c>
      <c r="F61" t="s">
        <v>64</v>
      </c>
      <c r="G61" t="s">
        <v>71</v>
      </c>
      <c r="H61">
        <v>7</v>
      </c>
      <c r="I61">
        <v>6500</v>
      </c>
      <c r="J61">
        <v>0.1</v>
      </c>
      <c r="K61" t="s">
        <v>18</v>
      </c>
      <c r="L61" t="s">
        <v>19</v>
      </c>
      <c r="M61" t="s">
        <v>135</v>
      </c>
      <c r="N61">
        <f>SalesTable[[#This Row],[الكمية]]*SalesTable[[#This Row],[سعر الوحدة]]</f>
        <v>45500</v>
      </c>
      <c r="O61">
        <f>SalesTable[[#This Row],[الكمية]]*SalesTable[[#This Row],[سعر الوحدة]]*(1-SalesTable[[#This Row],[الخصم]])</f>
        <v>40950</v>
      </c>
    </row>
    <row r="62" spans="1:15" x14ac:dyDescent="0.3">
      <c r="A62">
        <v>10061</v>
      </c>
      <c r="B62" t="s">
        <v>36</v>
      </c>
      <c r="C62" s="3">
        <v>46190</v>
      </c>
      <c r="D62" t="s">
        <v>37</v>
      </c>
      <c r="E62" t="s">
        <v>23</v>
      </c>
      <c r="F62" t="s">
        <v>59</v>
      </c>
      <c r="G62" t="s">
        <v>60</v>
      </c>
      <c r="H62">
        <v>1</v>
      </c>
      <c r="I62">
        <v>32000</v>
      </c>
      <c r="J62">
        <v>0.05</v>
      </c>
      <c r="K62" t="s">
        <v>55</v>
      </c>
      <c r="L62" t="s">
        <v>47</v>
      </c>
      <c r="M62" t="s">
        <v>123</v>
      </c>
      <c r="N62">
        <f>SalesTable[[#This Row],[الكمية]]*SalesTable[[#This Row],[سعر الوحدة]]</f>
        <v>32000</v>
      </c>
      <c r="O62">
        <f>SalesTable[[#This Row],[الكمية]]*SalesTable[[#This Row],[سعر الوحدة]]*(1-SalesTable[[#This Row],[الخصم]])</f>
        <v>30400</v>
      </c>
    </row>
    <row r="63" spans="1:15" x14ac:dyDescent="0.3">
      <c r="A63">
        <v>10062</v>
      </c>
      <c r="B63" t="s">
        <v>44</v>
      </c>
      <c r="C63" s="3">
        <v>46263</v>
      </c>
      <c r="D63" t="s">
        <v>70</v>
      </c>
      <c r="E63" t="s">
        <v>46</v>
      </c>
      <c r="F63" t="s">
        <v>84</v>
      </c>
      <c r="G63" t="s">
        <v>85</v>
      </c>
      <c r="H63">
        <v>7</v>
      </c>
      <c r="I63">
        <v>1800</v>
      </c>
      <c r="J63">
        <v>0.05</v>
      </c>
      <c r="K63" t="s">
        <v>18</v>
      </c>
      <c r="L63" t="s">
        <v>19</v>
      </c>
      <c r="M63" t="s">
        <v>136</v>
      </c>
      <c r="N63">
        <f>SalesTable[[#This Row],[الكمية]]*SalesTable[[#This Row],[سعر الوحدة]]</f>
        <v>12600</v>
      </c>
      <c r="O63">
        <f>SalesTable[[#This Row],[الكمية]]*SalesTable[[#This Row],[سعر الوحدة]]*(1-SalesTable[[#This Row],[الخصم]])</f>
        <v>11970</v>
      </c>
    </row>
    <row r="64" spans="1:15" x14ac:dyDescent="0.3">
      <c r="A64">
        <v>10063</v>
      </c>
      <c r="B64" t="s">
        <v>13</v>
      </c>
      <c r="C64" s="3">
        <v>46033</v>
      </c>
      <c r="D64" t="s">
        <v>45</v>
      </c>
      <c r="E64" t="s">
        <v>46</v>
      </c>
      <c r="F64" t="s">
        <v>16</v>
      </c>
      <c r="G64" t="s">
        <v>17</v>
      </c>
      <c r="H64">
        <v>1</v>
      </c>
      <c r="I64">
        <v>1200</v>
      </c>
      <c r="J64">
        <v>0.03</v>
      </c>
      <c r="K64" t="s">
        <v>55</v>
      </c>
      <c r="L64" t="s">
        <v>26</v>
      </c>
      <c r="M64" t="s">
        <v>137</v>
      </c>
      <c r="N64">
        <f>SalesTable[[#This Row],[الكمية]]*SalesTable[[#This Row],[سعر الوحدة]]</f>
        <v>1200</v>
      </c>
      <c r="O64">
        <f>SalesTable[[#This Row],[الكمية]]*SalesTable[[#This Row],[سعر الوحدة]]*(1-SalesTable[[#This Row],[الخصم]])</f>
        <v>1164</v>
      </c>
    </row>
    <row r="65" spans="1:15" x14ac:dyDescent="0.3">
      <c r="A65">
        <v>10064</v>
      </c>
      <c r="B65" t="s">
        <v>52</v>
      </c>
      <c r="C65" s="3">
        <v>46211</v>
      </c>
      <c r="D65" t="s">
        <v>48</v>
      </c>
      <c r="E65" t="s">
        <v>30</v>
      </c>
      <c r="F65" t="s">
        <v>16</v>
      </c>
      <c r="G65" t="s">
        <v>96</v>
      </c>
      <c r="H65">
        <v>8</v>
      </c>
      <c r="I65">
        <v>9000</v>
      </c>
      <c r="J65">
        <v>0.15</v>
      </c>
      <c r="K65" t="s">
        <v>55</v>
      </c>
      <c r="L65" t="s">
        <v>19</v>
      </c>
      <c r="M65" t="s">
        <v>138</v>
      </c>
      <c r="N65">
        <f>SalesTable[[#This Row],[الكمية]]*SalesTable[[#This Row],[سعر الوحدة]]</f>
        <v>72000</v>
      </c>
      <c r="O65">
        <f>SalesTable[[#This Row],[الكمية]]*SalesTable[[#This Row],[سعر الوحدة]]*(1-SalesTable[[#This Row],[الخصم]])</f>
        <v>61200</v>
      </c>
    </row>
    <row r="66" spans="1:15" x14ac:dyDescent="0.3">
      <c r="A66">
        <v>10065</v>
      </c>
      <c r="B66" t="s">
        <v>36</v>
      </c>
      <c r="C66" s="3">
        <v>46226</v>
      </c>
      <c r="D66" t="s">
        <v>110</v>
      </c>
      <c r="E66" t="s">
        <v>46</v>
      </c>
      <c r="F66" t="s">
        <v>16</v>
      </c>
      <c r="G66" t="s">
        <v>17</v>
      </c>
      <c r="H66">
        <v>5</v>
      </c>
      <c r="I66">
        <v>450</v>
      </c>
      <c r="J66">
        <v>0.1</v>
      </c>
      <c r="K66" t="s">
        <v>55</v>
      </c>
      <c r="L66" t="s">
        <v>19</v>
      </c>
      <c r="M66" t="s">
        <v>139</v>
      </c>
      <c r="N66">
        <f>SalesTable[[#This Row],[الكمية]]*SalesTable[[#This Row],[سعر الوحدة]]</f>
        <v>2250</v>
      </c>
      <c r="O66">
        <f>SalesTable[[#This Row],[الكمية]]*SalesTable[[#This Row],[سعر الوحدة]]*(1-SalesTable[[#This Row],[الخصم]])</f>
        <v>2025</v>
      </c>
    </row>
    <row r="67" spans="1:15" x14ac:dyDescent="0.3">
      <c r="A67">
        <v>10066</v>
      </c>
      <c r="B67" t="s">
        <v>94</v>
      </c>
      <c r="C67" s="3">
        <v>46044</v>
      </c>
      <c r="D67" t="s">
        <v>104</v>
      </c>
      <c r="E67" t="s">
        <v>23</v>
      </c>
      <c r="F67" t="s">
        <v>87</v>
      </c>
      <c r="G67" t="s">
        <v>103</v>
      </c>
      <c r="H67">
        <v>10</v>
      </c>
      <c r="I67">
        <v>28000</v>
      </c>
      <c r="J67">
        <v>0</v>
      </c>
      <c r="K67" t="s">
        <v>38</v>
      </c>
      <c r="L67" t="s">
        <v>47</v>
      </c>
      <c r="M67" t="s">
        <v>140</v>
      </c>
      <c r="N67">
        <f>SalesTable[[#This Row],[الكمية]]*SalesTable[[#This Row],[سعر الوحدة]]</f>
        <v>280000</v>
      </c>
      <c r="O67">
        <f>SalesTable[[#This Row],[الكمية]]*SalesTable[[#This Row],[سعر الوحدة]]*(1-SalesTable[[#This Row],[الخصم]])</f>
        <v>280000</v>
      </c>
    </row>
    <row r="68" spans="1:15" x14ac:dyDescent="0.3">
      <c r="A68">
        <v>10067</v>
      </c>
      <c r="B68" t="s">
        <v>44</v>
      </c>
      <c r="C68" s="3">
        <v>46244</v>
      </c>
      <c r="D68" t="s">
        <v>104</v>
      </c>
      <c r="E68" t="s">
        <v>23</v>
      </c>
      <c r="F68" t="s">
        <v>49</v>
      </c>
      <c r="G68" t="s">
        <v>50</v>
      </c>
      <c r="H68">
        <v>7</v>
      </c>
      <c r="I68">
        <v>28000</v>
      </c>
      <c r="J68">
        <v>7.0000000000000007E-2</v>
      </c>
      <c r="K68" t="s">
        <v>38</v>
      </c>
      <c r="L68" t="s">
        <v>47</v>
      </c>
      <c r="M68" t="s">
        <v>63</v>
      </c>
      <c r="N68">
        <f>SalesTable[[#This Row],[الكمية]]*SalesTable[[#This Row],[سعر الوحدة]]</f>
        <v>196000</v>
      </c>
      <c r="O68">
        <f>SalesTable[[#This Row],[الكمية]]*SalesTable[[#This Row],[سعر الوحدة]]*(1-SalesTable[[#This Row],[الخصم]])</f>
        <v>182280</v>
      </c>
    </row>
    <row r="69" spans="1:15" x14ac:dyDescent="0.3">
      <c r="A69">
        <v>10068</v>
      </c>
      <c r="B69" t="s">
        <v>62</v>
      </c>
      <c r="C69" s="3">
        <v>46261</v>
      </c>
      <c r="D69" t="s">
        <v>29</v>
      </c>
      <c r="E69" t="s">
        <v>30</v>
      </c>
      <c r="F69" t="s">
        <v>64</v>
      </c>
      <c r="G69" t="s">
        <v>107</v>
      </c>
      <c r="H69">
        <v>10</v>
      </c>
      <c r="I69">
        <v>7500</v>
      </c>
      <c r="J69">
        <v>0.1</v>
      </c>
      <c r="K69" t="s">
        <v>33</v>
      </c>
      <c r="L69" t="s">
        <v>34</v>
      </c>
      <c r="M69" t="s">
        <v>141</v>
      </c>
      <c r="N69">
        <f>SalesTable[[#This Row],[الكمية]]*SalesTable[[#This Row],[سعر الوحدة]]</f>
        <v>75000</v>
      </c>
      <c r="O69">
        <f>SalesTable[[#This Row],[الكمية]]*SalesTable[[#This Row],[سعر الوحدة]]*(1-SalesTable[[#This Row],[الخصم]])</f>
        <v>67500</v>
      </c>
    </row>
    <row r="70" spans="1:15" x14ac:dyDescent="0.3">
      <c r="A70">
        <v>10069</v>
      </c>
      <c r="B70" t="s">
        <v>13</v>
      </c>
      <c r="C70" s="3">
        <v>46260</v>
      </c>
      <c r="D70" t="s">
        <v>68</v>
      </c>
      <c r="E70" t="s">
        <v>46</v>
      </c>
      <c r="F70" t="s">
        <v>31</v>
      </c>
      <c r="G70" t="s">
        <v>54</v>
      </c>
      <c r="H70">
        <v>5</v>
      </c>
      <c r="I70">
        <v>1400</v>
      </c>
      <c r="J70">
        <v>7.0000000000000007E-2</v>
      </c>
      <c r="K70" t="s">
        <v>33</v>
      </c>
      <c r="L70" t="s">
        <v>34</v>
      </c>
      <c r="M70" t="s">
        <v>142</v>
      </c>
      <c r="N70">
        <f>SalesTable[[#This Row],[الكمية]]*SalesTable[[#This Row],[سعر الوحدة]]</f>
        <v>7000</v>
      </c>
      <c r="O70">
        <f>SalesTable[[#This Row],[الكمية]]*SalesTable[[#This Row],[سعر الوحدة]]*(1-SalesTable[[#This Row],[الخصم]])</f>
        <v>6510</v>
      </c>
    </row>
    <row r="71" spans="1:15" x14ac:dyDescent="0.3">
      <c r="A71">
        <v>10070</v>
      </c>
      <c r="B71" t="s">
        <v>67</v>
      </c>
      <c r="C71" s="3">
        <v>46155</v>
      </c>
      <c r="D71" t="s">
        <v>48</v>
      </c>
      <c r="E71" t="s">
        <v>30</v>
      </c>
      <c r="F71" t="s">
        <v>49</v>
      </c>
      <c r="G71" t="s">
        <v>50</v>
      </c>
      <c r="H71">
        <v>8</v>
      </c>
      <c r="I71">
        <v>9000</v>
      </c>
      <c r="J71">
        <v>0.03</v>
      </c>
      <c r="K71" t="s">
        <v>38</v>
      </c>
      <c r="L71" t="s">
        <v>34</v>
      </c>
      <c r="M71" t="s">
        <v>143</v>
      </c>
      <c r="N71">
        <f>SalesTable[[#This Row],[الكمية]]*SalesTable[[#This Row],[سعر الوحدة]]</f>
        <v>72000</v>
      </c>
      <c r="O71">
        <f>SalesTable[[#This Row],[الكمية]]*SalesTable[[#This Row],[سعر الوحدة]]*(1-SalesTable[[#This Row],[الخصم]])</f>
        <v>69840</v>
      </c>
    </row>
    <row r="72" spans="1:15" x14ac:dyDescent="0.3">
      <c r="A72">
        <v>10071</v>
      </c>
      <c r="B72" t="s">
        <v>36</v>
      </c>
      <c r="C72" s="3">
        <v>46273</v>
      </c>
      <c r="D72" t="s">
        <v>53</v>
      </c>
      <c r="E72" t="s">
        <v>15</v>
      </c>
      <c r="F72" t="s">
        <v>24</v>
      </c>
      <c r="G72" t="s">
        <v>73</v>
      </c>
      <c r="H72">
        <v>2</v>
      </c>
      <c r="I72">
        <v>3200</v>
      </c>
      <c r="J72">
        <v>0.03</v>
      </c>
      <c r="K72" t="s">
        <v>55</v>
      </c>
      <c r="L72" t="s">
        <v>47</v>
      </c>
      <c r="M72" t="s">
        <v>144</v>
      </c>
      <c r="N72">
        <f>SalesTable[[#This Row],[الكمية]]*SalesTable[[#This Row],[سعر الوحدة]]</f>
        <v>6400</v>
      </c>
      <c r="O72">
        <f>SalesTable[[#This Row],[الكمية]]*SalesTable[[#This Row],[سعر الوحدة]]*(1-SalesTable[[#This Row],[الخصم]])</f>
        <v>6208</v>
      </c>
    </row>
    <row r="73" spans="1:15" x14ac:dyDescent="0.3">
      <c r="A73">
        <v>10072</v>
      </c>
      <c r="B73" t="s">
        <v>36</v>
      </c>
      <c r="C73" s="3">
        <v>46377</v>
      </c>
      <c r="D73" t="s">
        <v>48</v>
      </c>
      <c r="E73" t="s">
        <v>30</v>
      </c>
      <c r="F73" t="s">
        <v>24</v>
      </c>
      <c r="G73" t="s">
        <v>25</v>
      </c>
      <c r="H73">
        <v>5</v>
      </c>
      <c r="I73">
        <v>9000</v>
      </c>
      <c r="J73">
        <v>0.03</v>
      </c>
      <c r="K73" t="s">
        <v>55</v>
      </c>
      <c r="L73" t="s">
        <v>34</v>
      </c>
      <c r="M73" t="s">
        <v>145</v>
      </c>
      <c r="N73">
        <f>SalesTable[[#This Row],[الكمية]]*SalesTable[[#This Row],[سعر الوحدة]]</f>
        <v>45000</v>
      </c>
      <c r="O73">
        <f>SalesTable[[#This Row],[الكمية]]*SalesTable[[#This Row],[سعر الوحدة]]*(1-SalesTable[[#This Row],[الخصم]])</f>
        <v>43650</v>
      </c>
    </row>
    <row r="74" spans="1:15" x14ac:dyDescent="0.3">
      <c r="A74">
        <v>10073</v>
      </c>
      <c r="B74" t="s">
        <v>36</v>
      </c>
      <c r="C74" s="3">
        <v>46304</v>
      </c>
      <c r="D74" t="s">
        <v>70</v>
      </c>
      <c r="E74" t="s">
        <v>46</v>
      </c>
      <c r="F74" t="s">
        <v>59</v>
      </c>
      <c r="G74" t="s">
        <v>75</v>
      </c>
      <c r="H74">
        <v>9</v>
      </c>
      <c r="I74">
        <v>1800</v>
      </c>
      <c r="J74">
        <v>0.05</v>
      </c>
      <c r="K74" t="s">
        <v>38</v>
      </c>
      <c r="L74" t="s">
        <v>34</v>
      </c>
      <c r="M74" t="s">
        <v>146</v>
      </c>
      <c r="N74">
        <f>SalesTable[[#This Row],[الكمية]]*SalesTable[[#This Row],[سعر الوحدة]]</f>
        <v>16200</v>
      </c>
      <c r="O74">
        <f>SalesTable[[#This Row],[الكمية]]*SalesTable[[#This Row],[سعر الوحدة]]*(1-SalesTable[[#This Row],[الخصم]])</f>
        <v>15390</v>
      </c>
    </row>
    <row r="75" spans="1:15" x14ac:dyDescent="0.3">
      <c r="A75">
        <v>10074</v>
      </c>
      <c r="B75" t="s">
        <v>13</v>
      </c>
      <c r="C75" s="3">
        <v>46184</v>
      </c>
      <c r="D75" t="s">
        <v>110</v>
      </c>
      <c r="E75" t="s">
        <v>46</v>
      </c>
      <c r="F75" t="s">
        <v>87</v>
      </c>
      <c r="G75" t="s">
        <v>88</v>
      </c>
      <c r="H75">
        <v>4</v>
      </c>
      <c r="I75">
        <v>450</v>
      </c>
      <c r="J75">
        <v>0</v>
      </c>
      <c r="K75" t="s">
        <v>18</v>
      </c>
      <c r="L75" t="s">
        <v>26</v>
      </c>
      <c r="M75" t="s">
        <v>147</v>
      </c>
      <c r="N75">
        <f>SalesTable[[#This Row],[الكمية]]*SalesTable[[#This Row],[سعر الوحدة]]</f>
        <v>1800</v>
      </c>
      <c r="O75">
        <f>SalesTable[[#This Row],[الكمية]]*SalesTable[[#This Row],[سعر الوحدة]]*(1-SalesTable[[#This Row],[الخصم]])</f>
        <v>1800</v>
      </c>
    </row>
    <row r="76" spans="1:15" x14ac:dyDescent="0.3">
      <c r="A76">
        <v>10075</v>
      </c>
      <c r="B76" t="s">
        <v>94</v>
      </c>
      <c r="C76" s="3">
        <v>46167</v>
      </c>
      <c r="D76" t="s">
        <v>45</v>
      </c>
      <c r="E76" t="s">
        <v>46</v>
      </c>
      <c r="F76" t="s">
        <v>59</v>
      </c>
      <c r="G76" t="s">
        <v>105</v>
      </c>
      <c r="H76">
        <v>10</v>
      </c>
      <c r="I76">
        <v>1200</v>
      </c>
      <c r="J76">
        <v>0.1</v>
      </c>
      <c r="K76" t="s">
        <v>18</v>
      </c>
      <c r="L76" t="s">
        <v>26</v>
      </c>
      <c r="M76" t="s">
        <v>148</v>
      </c>
      <c r="N76">
        <f>SalesTable[[#This Row],[الكمية]]*SalesTable[[#This Row],[سعر الوحدة]]</f>
        <v>12000</v>
      </c>
      <c r="O76">
        <f>SalesTable[[#This Row],[الكمية]]*SalesTable[[#This Row],[سعر الوحدة]]*(1-SalesTable[[#This Row],[الخصم]])</f>
        <v>10800</v>
      </c>
    </row>
    <row r="77" spans="1:15" x14ac:dyDescent="0.3">
      <c r="A77">
        <v>10076</v>
      </c>
      <c r="B77" t="s">
        <v>21</v>
      </c>
      <c r="C77" s="3">
        <v>46087</v>
      </c>
      <c r="D77" t="s">
        <v>45</v>
      </c>
      <c r="E77" t="s">
        <v>46</v>
      </c>
      <c r="F77" t="s">
        <v>49</v>
      </c>
      <c r="G77" t="s">
        <v>50</v>
      </c>
      <c r="H77">
        <v>5</v>
      </c>
      <c r="I77">
        <v>1200</v>
      </c>
      <c r="J77">
        <v>0</v>
      </c>
      <c r="K77" t="s">
        <v>38</v>
      </c>
      <c r="L77" t="s">
        <v>19</v>
      </c>
      <c r="M77" t="s">
        <v>149</v>
      </c>
      <c r="N77">
        <f>SalesTable[[#This Row],[الكمية]]*SalesTable[[#This Row],[سعر الوحدة]]</f>
        <v>6000</v>
      </c>
      <c r="O77">
        <f>SalesTable[[#This Row],[الكمية]]*SalesTable[[#This Row],[سعر الوحدة]]*(1-SalesTable[[#This Row],[الخصم]])</f>
        <v>6000</v>
      </c>
    </row>
    <row r="78" spans="1:15" x14ac:dyDescent="0.3">
      <c r="A78">
        <v>10077</v>
      </c>
      <c r="B78" t="s">
        <v>62</v>
      </c>
      <c r="C78" s="3">
        <v>46075</v>
      </c>
      <c r="D78" t="s">
        <v>53</v>
      </c>
      <c r="E78" t="s">
        <v>15</v>
      </c>
      <c r="F78" t="s">
        <v>87</v>
      </c>
      <c r="G78" t="s">
        <v>103</v>
      </c>
      <c r="H78">
        <v>3</v>
      </c>
      <c r="I78">
        <v>3200</v>
      </c>
      <c r="J78">
        <v>0.15</v>
      </c>
      <c r="K78" t="s">
        <v>18</v>
      </c>
      <c r="L78" t="s">
        <v>34</v>
      </c>
      <c r="M78" t="s">
        <v>150</v>
      </c>
      <c r="N78">
        <f>SalesTable[[#This Row],[الكمية]]*SalesTable[[#This Row],[سعر الوحدة]]</f>
        <v>9600</v>
      </c>
      <c r="O78">
        <f>SalesTable[[#This Row],[الكمية]]*SalesTable[[#This Row],[سعر الوحدة]]*(1-SalesTable[[#This Row],[الخصم]])</f>
        <v>8160</v>
      </c>
    </row>
    <row r="79" spans="1:15" x14ac:dyDescent="0.3">
      <c r="A79">
        <v>10078</v>
      </c>
      <c r="B79" t="s">
        <v>52</v>
      </c>
      <c r="C79" s="3">
        <v>46267</v>
      </c>
      <c r="D79" t="s">
        <v>48</v>
      </c>
      <c r="E79" t="s">
        <v>30</v>
      </c>
      <c r="F79" t="s">
        <v>59</v>
      </c>
      <c r="G79" t="s">
        <v>105</v>
      </c>
      <c r="H79">
        <v>3</v>
      </c>
      <c r="I79">
        <v>9000</v>
      </c>
      <c r="J79">
        <v>0</v>
      </c>
      <c r="K79" t="s">
        <v>18</v>
      </c>
      <c r="L79" t="s">
        <v>19</v>
      </c>
      <c r="M79" t="s">
        <v>89</v>
      </c>
      <c r="N79">
        <f>SalesTable[[#This Row],[الكمية]]*SalesTable[[#This Row],[سعر الوحدة]]</f>
        <v>27000</v>
      </c>
      <c r="O79">
        <f>SalesTable[[#This Row],[الكمية]]*SalesTable[[#This Row],[سعر الوحدة]]*(1-SalesTable[[#This Row],[الخصم]])</f>
        <v>27000</v>
      </c>
    </row>
    <row r="80" spans="1:15" x14ac:dyDescent="0.3">
      <c r="A80">
        <v>10079</v>
      </c>
      <c r="B80" t="s">
        <v>94</v>
      </c>
      <c r="C80" s="3">
        <v>46178</v>
      </c>
      <c r="D80" t="s">
        <v>48</v>
      </c>
      <c r="E80" t="s">
        <v>30</v>
      </c>
      <c r="F80" t="s">
        <v>16</v>
      </c>
      <c r="G80" t="s">
        <v>17</v>
      </c>
      <c r="H80">
        <v>3</v>
      </c>
      <c r="I80">
        <v>9000</v>
      </c>
      <c r="J80">
        <v>0.03</v>
      </c>
      <c r="K80" t="s">
        <v>18</v>
      </c>
      <c r="L80" t="s">
        <v>26</v>
      </c>
      <c r="M80" t="s">
        <v>151</v>
      </c>
      <c r="N80">
        <f>SalesTable[[#This Row],[الكمية]]*SalesTable[[#This Row],[سعر الوحدة]]</f>
        <v>27000</v>
      </c>
      <c r="O80">
        <f>SalesTable[[#This Row],[الكمية]]*SalesTable[[#This Row],[سعر الوحدة]]*(1-SalesTable[[#This Row],[الخصم]])</f>
        <v>26190</v>
      </c>
    </row>
    <row r="81" spans="1:15" x14ac:dyDescent="0.3">
      <c r="A81">
        <v>10080</v>
      </c>
      <c r="B81" t="s">
        <v>13</v>
      </c>
      <c r="C81" s="3">
        <v>46290</v>
      </c>
      <c r="D81" t="s">
        <v>53</v>
      </c>
      <c r="E81" t="s">
        <v>15</v>
      </c>
      <c r="F81" t="s">
        <v>84</v>
      </c>
      <c r="G81" t="s">
        <v>113</v>
      </c>
      <c r="H81">
        <v>10</v>
      </c>
      <c r="I81">
        <v>3200</v>
      </c>
      <c r="J81">
        <v>0.1</v>
      </c>
      <c r="K81" t="s">
        <v>33</v>
      </c>
      <c r="L81" t="s">
        <v>47</v>
      </c>
      <c r="M81" t="s">
        <v>152</v>
      </c>
      <c r="N81">
        <f>SalesTable[[#This Row],[الكمية]]*SalesTable[[#This Row],[سعر الوحدة]]</f>
        <v>32000</v>
      </c>
      <c r="O81">
        <f>SalesTable[[#This Row],[الكمية]]*SalesTable[[#This Row],[سعر الوحدة]]*(1-SalesTable[[#This Row],[الخصم]])</f>
        <v>28800</v>
      </c>
    </row>
    <row r="82" spans="1:15" x14ac:dyDescent="0.3">
      <c r="A82">
        <v>10081</v>
      </c>
      <c r="B82" t="s">
        <v>28</v>
      </c>
      <c r="C82" s="3">
        <v>46335</v>
      </c>
      <c r="D82" t="s">
        <v>110</v>
      </c>
      <c r="E82" t="s">
        <v>46</v>
      </c>
      <c r="F82" t="s">
        <v>84</v>
      </c>
      <c r="G82" t="s">
        <v>85</v>
      </c>
      <c r="H82">
        <v>10</v>
      </c>
      <c r="I82">
        <v>450</v>
      </c>
      <c r="J82">
        <v>0.1</v>
      </c>
      <c r="K82" t="s">
        <v>18</v>
      </c>
      <c r="L82" t="s">
        <v>26</v>
      </c>
      <c r="M82" t="s">
        <v>153</v>
      </c>
      <c r="N82">
        <f>SalesTable[[#This Row],[الكمية]]*SalesTable[[#This Row],[سعر الوحدة]]</f>
        <v>4500</v>
      </c>
      <c r="O82">
        <f>SalesTable[[#This Row],[الكمية]]*SalesTable[[#This Row],[سعر الوحدة]]*(1-SalesTable[[#This Row],[الخصم]])</f>
        <v>4050</v>
      </c>
    </row>
    <row r="83" spans="1:15" x14ac:dyDescent="0.3">
      <c r="A83">
        <v>10082</v>
      </c>
      <c r="B83" t="s">
        <v>21</v>
      </c>
      <c r="C83" s="3">
        <v>46061</v>
      </c>
      <c r="D83" t="s">
        <v>110</v>
      </c>
      <c r="E83" t="s">
        <v>46</v>
      </c>
      <c r="F83" t="s">
        <v>16</v>
      </c>
      <c r="G83" t="s">
        <v>96</v>
      </c>
      <c r="H83">
        <v>4</v>
      </c>
      <c r="I83">
        <v>450</v>
      </c>
      <c r="J83">
        <v>0.03</v>
      </c>
      <c r="K83" t="s">
        <v>55</v>
      </c>
      <c r="L83" t="s">
        <v>19</v>
      </c>
      <c r="M83" t="s">
        <v>154</v>
      </c>
      <c r="N83">
        <f>SalesTable[[#This Row],[الكمية]]*SalesTable[[#This Row],[سعر الوحدة]]</f>
        <v>1800</v>
      </c>
      <c r="O83">
        <f>SalesTable[[#This Row],[الكمية]]*SalesTable[[#This Row],[سعر الوحدة]]*(1-SalesTable[[#This Row],[الخصم]])</f>
        <v>1746</v>
      </c>
    </row>
    <row r="84" spans="1:15" x14ac:dyDescent="0.3">
      <c r="A84">
        <v>10083</v>
      </c>
      <c r="B84" t="s">
        <v>52</v>
      </c>
      <c r="C84" s="3">
        <v>46384</v>
      </c>
      <c r="D84" t="s">
        <v>48</v>
      </c>
      <c r="E84" t="s">
        <v>30</v>
      </c>
      <c r="F84" t="s">
        <v>59</v>
      </c>
      <c r="G84" t="s">
        <v>105</v>
      </c>
      <c r="H84">
        <v>1</v>
      </c>
      <c r="I84">
        <v>9000</v>
      </c>
      <c r="J84">
        <v>0.03</v>
      </c>
      <c r="K84" t="s">
        <v>38</v>
      </c>
      <c r="L84" t="s">
        <v>47</v>
      </c>
      <c r="M84" t="s">
        <v>80</v>
      </c>
      <c r="N84">
        <f>SalesTable[[#This Row],[الكمية]]*SalesTable[[#This Row],[سعر الوحدة]]</f>
        <v>9000</v>
      </c>
      <c r="O84">
        <f>SalesTable[[#This Row],[الكمية]]*SalesTable[[#This Row],[سعر الوحدة]]*(1-SalesTable[[#This Row],[الخصم]])</f>
        <v>8730</v>
      </c>
    </row>
    <row r="85" spans="1:15" x14ac:dyDescent="0.3">
      <c r="A85">
        <v>10084</v>
      </c>
      <c r="B85" t="s">
        <v>13</v>
      </c>
      <c r="C85" s="3">
        <v>46240</v>
      </c>
      <c r="D85" t="s">
        <v>14</v>
      </c>
      <c r="E85" t="s">
        <v>15</v>
      </c>
      <c r="F85" t="s">
        <v>31</v>
      </c>
      <c r="G85" t="s">
        <v>32</v>
      </c>
      <c r="H85">
        <v>10</v>
      </c>
      <c r="I85">
        <v>650</v>
      </c>
      <c r="J85">
        <v>0.15</v>
      </c>
      <c r="K85" t="s">
        <v>18</v>
      </c>
      <c r="L85" t="s">
        <v>26</v>
      </c>
      <c r="M85" t="s">
        <v>155</v>
      </c>
      <c r="N85">
        <f>SalesTable[[#This Row],[الكمية]]*SalesTable[[#This Row],[سعر الوحدة]]</f>
        <v>6500</v>
      </c>
      <c r="O85">
        <f>SalesTable[[#This Row],[الكمية]]*SalesTable[[#This Row],[سعر الوحدة]]*(1-SalesTable[[#This Row],[الخصم]])</f>
        <v>5525</v>
      </c>
    </row>
    <row r="86" spans="1:15" x14ac:dyDescent="0.3">
      <c r="A86">
        <v>10085</v>
      </c>
      <c r="B86" t="s">
        <v>112</v>
      </c>
      <c r="C86" s="3">
        <v>46180</v>
      </c>
      <c r="D86" t="s">
        <v>90</v>
      </c>
      <c r="E86" t="s">
        <v>91</v>
      </c>
      <c r="F86" t="s">
        <v>87</v>
      </c>
      <c r="G86" t="s">
        <v>101</v>
      </c>
      <c r="H86">
        <v>2</v>
      </c>
      <c r="I86">
        <v>6500</v>
      </c>
      <c r="J86">
        <v>0</v>
      </c>
      <c r="K86" t="s">
        <v>38</v>
      </c>
      <c r="L86" t="s">
        <v>47</v>
      </c>
      <c r="M86" t="s">
        <v>156</v>
      </c>
      <c r="N86">
        <f>SalesTable[[#This Row],[الكمية]]*SalesTable[[#This Row],[سعر الوحدة]]</f>
        <v>13000</v>
      </c>
      <c r="O86">
        <f>SalesTable[[#This Row],[الكمية]]*SalesTable[[#This Row],[سعر الوحدة]]*(1-SalesTable[[#This Row],[الخصم]])</f>
        <v>13000</v>
      </c>
    </row>
    <row r="87" spans="1:15" x14ac:dyDescent="0.3">
      <c r="A87">
        <v>10086</v>
      </c>
      <c r="B87" t="s">
        <v>21</v>
      </c>
      <c r="C87" s="3">
        <v>46299</v>
      </c>
      <c r="D87" t="s">
        <v>48</v>
      </c>
      <c r="E87" t="s">
        <v>30</v>
      </c>
      <c r="F87" t="s">
        <v>87</v>
      </c>
      <c r="G87" t="s">
        <v>103</v>
      </c>
      <c r="H87">
        <v>7</v>
      </c>
      <c r="I87">
        <v>9000</v>
      </c>
      <c r="J87">
        <v>0.05</v>
      </c>
      <c r="K87" t="s">
        <v>33</v>
      </c>
      <c r="L87" t="s">
        <v>47</v>
      </c>
      <c r="M87" t="s">
        <v>157</v>
      </c>
      <c r="N87">
        <f>SalesTable[[#This Row],[الكمية]]*SalesTable[[#This Row],[سعر الوحدة]]</f>
        <v>63000</v>
      </c>
      <c r="O87">
        <f>SalesTable[[#This Row],[الكمية]]*SalesTable[[#This Row],[سعر الوحدة]]*(1-SalesTable[[#This Row],[الخصم]])</f>
        <v>59850</v>
      </c>
    </row>
    <row r="88" spans="1:15" x14ac:dyDescent="0.3">
      <c r="A88">
        <v>10087</v>
      </c>
      <c r="B88" t="s">
        <v>52</v>
      </c>
      <c r="C88" s="3">
        <v>46036</v>
      </c>
      <c r="D88" t="s">
        <v>95</v>
      </c>
      <c r="E88" t="s">
        <v>15</v>
      </c>
      <c r="F88" t="s">
        <v>24</v>
      </c>
      <c r="G88" t="s">
        <v>42</v>
      </c>
      <c r="H88">
        <v>6</v>
      </c>
      <c r="I88">
        <v>5200</v>
      </c>
      <c r="J88">
        <v>0.1</v>
      </c>
      <c r="K88" t="s">
        <v>18</v>
      </c>
      <c r="L88" t="s">
        <v>26</v>
      </c>
      <c r="M88" t="s">
        <v>158</v>
      </c>
      <c r="N88">
        <f>SalesTable[[#This Row],[الكمية]]*SalesTable[[#This Row],[سعر الوحدة]]</f>
        <v>31200</v>
      </c>
      <c r="O88">
        <f>SalesTable[[#This Row],[الكمية]]*SalesTable[[#This Row],[سعر الوحدة]]*(1-SalesTable[[#This Row],[الخصم]])</f>
        <v>28080</v>
      </c>
    </row>
    <row r="89" spans="1:15" x14ac:dyDescent="0.3">
      <c r="A89">
        <v>10088</v>
      </c>
      <c r="B89" t="s">
        <v>112</v>
      </c>
      <c r="C89" s="3">
        <v>46263</v>
      </c>
      <c r="D89" t="s">
        <v>95</v>
      </c>
      <c r="E89" t="s">
        <v>15</v>
      </c>
      <c r="F89" t="s">
        <v>24</v>
      </c>
      <c r="G89" t="s">
        <v>57</v>
      </c>
      <c r="H89">
        <v>10</v>
      </c>
      <c r="I89">
        <v>5200</v>
      </c>
      <c r="J89">
        <v>0</v>
      </c>
      <c r="K89" t="s">
        <v>33</v>
      </c>
      <c r="L89" t="s">
        <v>34</v>
      </c>
      <c r="M89" t="s">
        <v>159</v>
      </c>
      <c r="N89">
        <f>SalesTable[[#This Row],[الكمية]]*SalesTable[[#This Row],[سعر الوحدة]]</f>
        <v>52000</v>
      </c>
      <c r="O89">
        <f>SalesTable[[#This Row],[الكمية]]*SalesTable[[#This Row],[سعر الوحدة]]*(1-SalesTable[[#This Row],[الخصم]])</f>
        <v>52000</v>
      </c>
    </row>
    <row r="90" spans="1:15" x14ac:dyDescent="0.3">
      <c r="A90">
        <v>10089</v>
      </c>
      <c r="B90" t="s">
        <v>62</v>
      </c>
      <c r="C90" s="3">
        <v>46201</v>
      </c>
      <c r="D90" t="s">
        <v>95</v>
      </c>
      <c r="E90" t="s">
        <v>15</v>
      </c>
      <c r="F90" t="s">
        <v>84</v>
      </c>
      <c r="G90" t="s">
        <v>113</v>
      </c>
      <c r="H90">
        <v>8</v>
      </c>
      <c r="I90">
        <v>5200</v>
      </c>
      <c r="J90">
        <v>0</v>
      </c>
      <c r="K90" t="s">
        <v>33</v>
      </c>
      <c r="L90" t="s">
        <v>34</v>
      </c>
      <c r="M90" t="s">
        <v>160</v>
      </c>
      <c r="N90">
        <f>SalesTable[[#This Row],[الكمية]]*SalesTable[[#This Row],[سعر الوحدة]]</f>
        <v>41600</v>
      </c>
      <c r="O90">
        <f>SalesTable[[#This Row],[الكمية]]*SalesTable[[#This Row],[سعر الوحدة]]*(1-SalesTable[[#This Row],[الخصم]])</f>
        <v>41600</v>
      </c>
    </row>
    <row r="91" spans="1:15" x14ac:dyDescent="0.3">
      <c r="A91">
        <v>10090</v>
      </c>
      <c r="B91" t="s">
        <v>62</v>
      </c>
      <c r="C91" s="3">
        <v>46170</v>
      </c>
      <c r="D91" t="s">
        <v>14</v>
      </c>
      <c r="E91" t="s">
        <v>15</v>
      </c>
      <c r="F91" t="s">
        <v>16</v>
      </c>
      <c r="G91" t="s">
        <v>96</v>
      </c>
      <c r="H91">
        <v>6</v>
      </c>
      <c r="I91">
        <v>650</v>
      </c>
      <c r="J91">
        <v>7.0000000000000007E-2</v>
      </c>
      <c r="K91" t="s">
        <v>33</v>
      </c>
      <c r="L91" t="s">
        <v>19</v>
      </c>
      <c r="M91" t="s">
        <v>146</v>
      </c>
      <c r="N91">
        <f>SalesTable[[#This Row],[الكمية]]*SalesTable[[#This Row],[سعر الوحدة]]</f>
        <v>3900</v>
      </c>
      <c r="O91">
        <f>SalesTable[[#This Row],[الكمية]]*SalesTable[[#This Row],[سعر الوحدة]]*(1-SalesTable[[#This Row],[الخصم]])</f>
        <v>3626.9999999999995</v>
      </c>
    </row>
    <row r="92" spans="1:15" x14ac:dyDescent="0.3">
      <c r="A92">
        <v>10091</v>
      </c>
      <c r="B92" t="s">
        <v>36</v>
      </c>
      <c r="C92" s="3">
        <v>46286</v>
      </c>
      <c r="D92" t="s">
        <v>104</v>
      </c>
      <c r="E92" t="s">
        <v>23</v>
      </c>
      <c r="F92" t="s">
        <v>49</v>
      </c>
      <c r="G92" t="s">
        <v>98</v>
      </c>
      <c r="H92">
        <v>6</v>
      </c>
      <c r="I92">
        <v>28000</v>
      </c>
      <c r="J92">
        <v>0</v>
      </c>
      <c r="K92" t="s">
        <v>18</v>
      </c>
      <c r="L92" t="s">
        <v>47</v>
      </c>
      <c r="M92" t="s">
        <v>161</v>
      </c>
      <c r="N92">
        <f>SalesTable[[#This Row],[الكمية]]*SalesTable[[#This Row],[سعر الوحدة]]</f>
        <v>168000</v>
      </c>
      <c r="O92">
        <f>SalesTable[[#This Row],[الكمية]]*SalesTable[[#This Row],[سعر الوحدة]]*(1-SalesTable[[#This Row],[الخصم]])</f>
        <v>168000</v>
      </c>
    </row>
    <row r="93" spans="1:15" x14ac:dyDescent="0.3">
      <c r="A93">
        <v>10092</v>
      </c>
      <c r="B93" t="s">
        <v>62</v>
      </c>
      <c r="C93" s="3">
        <v>46343</v>
      </c>
      <c r="D93" t="s">
        <v>22</v>
      </c>
      <c r="E93" t="s">
        <v>23</v>
      </c>
      <c r="F93" t="s">
        <v>31</v>
      </c>
      <c r="G93" t="s">
        <v>77</v>
      </c>
      <c r="H93">
        <v>6</v>
      </c>
      <c r="I93">
        <v>25000</v>
      </c>
      <c r="J93">
        <v>0.1</v>
      </c>
      <c r="K93" t="s">
        <v>33</v>
      </c>
      <c r="L93" t="s">
        <v>19</v>
      </c>
      <c r="M93" t="s">
        <v>162</v>
      </c>
      <c r="N93">
        <f>SalesTable[[#This Row],[الكمية]]*SalesTable[[#This Row],[سعر الوحدة]]</f>
        <v>150000</v>
      </c>
      <c r="O93">
        <f>SalesTable[[#This Row],[الكمية]]*SalesTable[[#This Row],[سعر الوحدة]]*(1-SalesTable[[#This Row],[الخصم]])</f>
        <v>135000</v>
      </c>
    </row>
    <row r="94" spans="1:15" x14ac:dyDescent="0.3">
      <c r="A94">
        <v>10093</v>
      </c>
      <c r="B94" t="s">
        <v>62</v>
      </c>
      <c r="C94" s="3">
        <v>46085</v>
      </c>
      <c r="D94" t="s">
        <v>110</v>
      </c>
      <c r="E94" t="s">
        <v>46</v>
      </c>
      <c r="F94" t="s">
        <v>64</v>
      </c>
      <c r="G94" t="s">
        <v>107</v>
      </c>
      <c r="H94">
        <v>8</v>
      </c>
      <c r="I94">
        <v>450</v>
      </c>
      <c r="J94">
        <v>0.15</v>
      </c>
      <c r="K94" t="s">
        <v>18</v>
      </c>
      <c r="L94" t="s">
        <v>26</v>
      </c>
      <c r="M94" t="s">
        <v>163</v>
      </c>
      <c r="N94">
        <f>SalesTable[[#This Row],[الكمية]]*SalesTable[[#This Row],[سعر الوحدة]]</f>
        <v>3600</v>
      </c>
      <c r="O94">
        <f>SalesTable[[#This Row],[الكمية]]*SalesTable[[#This Row],[سعر الوحدة]]*(1-SalesTable[[#This Row],[الخصم]])</f>
        <v>3060</v>
      </c>
    </row>
    <row r="95" spans="1:15" x14ac:dyDescent="0.3">
      <c r="A95">
        <v>10094</v>
      </c>
      <c r="B95" t="s">
        <v>44</v>
      </c>
      <c r="C95" s="3">
        <v>46259</v>
      </c>
      <c r="D95" t="s">
        <v>110</v>
      </c>
      <c r="E95" t="s">
        <v>46</v>
      </c>
      <c r="F95" t="s">
        <v>24</v>
      </c>
      <c r="G95" t="s">
        <v>42</v>
      </c>
      <c r="H95">
        <v>2</v>
      </c>
      <c r="I95">
        <v>450</v>
      </c>
      <c r="J95">
        <v>0.03</v>
      </c>
      <c r="K95" t="s">
        <v>18</v>
      </c>
      <c r="L95" t="s">
        <v>26</v>
      </c>
      <c r="M95" t="s">
        <v>58</v>
      </c>
      <c r="N95">
        <f>SalesTable[[#This Row],[الكمية]]*SalesTable[[#This Row],[سعر الوحدة]]</f>
        <v>900</v>
      </c>
      <c r="O95">
        <f>SalesTable[[#This Row],[الكمية]]*SalesTable[[#This Row],[سعر الوحدة]]*(1-SalesTable[[#This Row],[الخصم]])</f>
        <v>873</v>
      </c>
    </row>
    <row r="96" spans="1:15" x14ac:dyDescent="0.3">
      <c r="A96">
        <v>10095</v>
      </c>
      <c r="B96" t="s">
        <v>62</v>
      </c>
      <c r="C96" s="3">
        <v>46264</v>
      </c>
      <c r="D96" t="s">
        <v>90</v>
      </c>
      <c r="E96" t="s">
        <v>91</v>
      </c>
      <c r="F96" t="s">
        <v>87</v>
      </c>
      <c r="G96" t="s">
        <v>103</v>
      </c>
      <c r="H96">
        <v>5</v>
      </c>
      <c r="I96">
        <v>6500</v>
      </c>
      <c r="J96">
        <v>7.0000000000000007E-2</v>
      </c>
      <c r="K96" t="s">
        <v>55</v>
      </c>
      <c r="L96" t="s">
        <v>47</v>
      </c>
      <c r="M96" t="s">
        <v>164</v>
      </c>
      <c r="N96">
        <f>SalesTable[[#This Row],[الكمية]]*SalesTable[[#This Row],[سعر الوحدة]]</f>
        <v>32500</v>
      </c>
      <c r="O96">
        <f>SalesTable[[#This Row],[الكمية]]*SalesTable[[#This Row],[سعر الوحدة]]*(1-SalesTable[[#This Row],[الخصم]])</f>
        <v>30224.999999999996</v>
      </c>
    </row>
    <row r="97" spans="1:15" x14ac:dyDescent="0.3">
      <c r="A97">
        <v>10096</v>
      </c>
      <c r="B97" t="s">
        <v>112</v>
      </c>
      <c r="C97" s="3">
        <v>46058</v>
      </c>
      <c r="D97" t="s">
        <v>37</v>
      </c>
      <c r="E97" t="s">
        <v>23</v>
      </c>
      <c r="F97" t="s">
        <v>84</v>
      </c>
      <c r="G97" t="s">
        <v>120</v>
      </c>
      <c r="H97">
        <v>10</v>
      </c>
      <c r="I97">
        <v>32000</v>
      </c>
      <c r="J97">
        <v>0.1</v>
      </c>
      <c r="K97" t="s">
        <v>38</v>
      </c>
      <c r="L97" t="s">
        <v>47</v>
      </c>
      <c r="M97" t="s">
        <v>165</v>
      </c>
      <c r="N97">
        <f>SalesTable[[#This Row],[الكمية]]*SalesTable[[#This Row],[سعر الوحدة]]</f>
        <v>320000</v>
      </c>
      <c r="O97">
        <f>SalesTable[[#This Row],[الكمية]]*SalesTable[[#This Row],[سعر الوحدة]]*(1-SalesTable[[#This Row],[الخصم]])</f>
        <v>288000</v>
      </c>
    </row>
    <row r="98" spans="1:15" x14ac:dyDescent="0.3">
      <c r="A98">
        <v>10097</v>
      </c>
      <c r="B98" t="s">
        <v>52</v>
      </c>
      <c r="C98" s="3">
        <v>46323</v>
      </c>
      <c r="D98" t="s">
        <v>90</v>
      </c>
      <c r="E98" t="s">
        <v>91</v>
      </c>
      <c r="F98" t="s">
        <v>87</v>
      </c>
      <c r="G98" t="s">
        <v>101</v>
      </c>
      <c r="H98">
        <v>5</v>
      </c>
      <c r="I98">
        <v>6500</v>
      </c>
      <c r="J98">
        <v>0.15</v>
      </c>
      <c r="K98" t="s">
        <v>33</v>
      </c>
      <c r="L98" t="s">
        <v>26</v>
      </c>
      <c r="M98" t="s">
        <v>166</v>
      </c>
      <c r="N98">
        <f>SalesTable[[#This Row],[الكمية]]*SalesTable[[#This Row],[سعر الوحدة]]</f>
        <v>32500</v>
      </c>
      <c r="O98">
        <f>SalesTable[[#This Row],[الكمية]]*SalesTable[[#This Row],[سعر الوحدة]]*(1-SalesTable[[#This Row],[الخصم]])</f>
        <v>27625</v>
      </c>
    </row>
    <row r="99" spans="1:15" x14ac:dyDescent="0.3">
      <c r="A99">
        <v>10098</v>
      </c>
      <c r="B99" t="s">
        <v>21</v>
      </c>
      <c r="C99" s="3">
        <v>46216</v>
      </c>
      <c r="D99" t="s">
        <v>53</v>
      </c>
      <c r="E99" t="s">
        <v>15</v>
      </c>
      <c r="F99" t="s">
        <v>59</v>
      </c>
      <c r="G99" t="s">
        <v>105</v>
      </c>
      <c r="H99">
        <v>6</v>
      </c>
      <c r="I99">
        <v>3200</v>
      </c>
      <c r="J99">
        <v>0.1</v>
      </c>
      <c r="K99" t="s">
        <v>33</v>
      </c>
      <c r="L99" t="s">
        <v>34</v>
      </c>
      <c r="M99" t="s">
        <v>167</v>
      </c>
      <c r="N99">
        <f>SalesTable[[#This Row],[الكمية]]*SalesTable[[#This Row],[سعر الوحدة]]</f>
        <v>19200</v>
      </c>
      <c r="O99">
        <f>SalesTable[[#This Row],[الكمية]]*SalesTable[[#This Row],[سعر الوحدة]]*(1-SalesTable[[#This Row],[الخصم]])</f>
        <v>17280</v>
      </c>
    </row>
    <row r="100" spans="1:15" x14ac:dyDescent="0.3">
      <c r="A100">
        <v>10099</v>
      </c>
      <c r="B100" t="s">
        <v>36</v>
      </c>
      <c r="C100" s="3">
        <v>46045</v>
      </c>
      <c r="D100" t="s">
        <v>81</v>
      </c>
      <c r="E100" t="s">
        <v>41</v>
      </c>
      <c r="F100" t="s">
        <v>31</v>
      </c>
      <c r="G100" t="s">
        <v>77</v>
      </c>
      <c r="H100">
        <v>7</v>
      </c>
      <c r="I100">
        <v>2200</v>
      </c>
      <c r="J100">
        <v>0.03</v>
      </c>
      <c r="K100" t="s">
        <v>38</v>
      </c>
      <c r="L100" t="s">
        <v>47</v>
      </c>
      <c r="M100" t="s">
        <v>168</v>
      </c>
      <c r="N100">
        <f>SalesTable[[#This Row],[الكمية]]*SalesTable[[#This Row],[سعر الوحدة]]</f>
        <v>15400</v>
      </c>
      <c r="O100">
        <f>SalesTable[[#This Row],[الكمية]]*SalesTable[[#This Row],[سعر الوحدة]]*(1-SalesTable[[#This Row],[الخصم]])</f>
        <v>14938</v>
      </c>
    </row>
    <row r="101" spans="1:15" x14ac:dyDescent="0.3">
      <c r="A101">
        <v>10100</v>
      </c>
      <c r="B101" t="s">
        <v>21</v>
      </c>
      <c r="C101" s="3">
        <v>46325</v>
      </c>
      <c r="D101" t="s">
        <v>29</v>
      </c>
      <c r="E101" t="s">
        <v>30</v>
      </c>
      <c r="F101" t="s">
        <v>64</v>
      </c>
      <c r="G101" t="s">
        <v>65</v>
      </c>
      <c r="H101">
        <v>1</v>
      </c>
      <c r="I101">
        <v>7500</v>
      </c>
      <c r="J101">
        <v>0.03</v>
      </c>
      <c r="K101" t="s">
        <v>38</v>
      </c>
      <c r="L101" t="s">
        <v>19</v>
      </c>
      <c r="M101" t="s">
        <v>169</v>
      </c>
      <c r="N101">
        <f>SalesTable[[#This Row],[الكمية]]*SalesTable[[#This Row],[سعر الوحدة]]</f>
        <v>7500</v>
      </c>
      <c r="O101">
        <f>SalesTable[[#This Row],[الكمية]]*SalesTable[[#This Row],[سعر الوحدة]]*(1-SalesTable[[#This Row],[الخصم]])</f>
        <v>7275</v>
      </c>
    </row>
    <row r="102" spans="1:15" x14ac:dyDescent="0.3">
      <c r="A102">
        <v>10101</v>
      </c>
      <c r="B102" t="s">
        <v>112</v>
      </c>
      <c r="C102" s="3">
        <v>46061</v>
      </c>
      <c r="D102" t="s">
        <v>104</v>
      </c>
      <c r="E102" t="s">
        <v>23</v>
      </c>
      <c r="F102" t="s">
        <v>59</v>
      </c>
      <c r="G102" t="s">
        <v>60</v>
      </c>
      <c r="H102">
        <v>3</v>
      </c>
      <c r="I102">
        <v>28000</v>
      </c>
      <c r="J102">
        <v>7.0000000000000007E-2</v>
      </c>
      <c r="K102" t="s">
        <v>33</v>
      </c>
      <c r="L102" t="s">
        <v>34</v>
      </c>
      <c r="M102" t="s">
        <v>170</v>
      </c>
      <c r="N102">
        <f>SalesTable[[#This Row],[الكمية]]*SalesTable[[#This Row],[سعر الوحدة]]</f>
        <v>84000</v>
      </c>
      <c r="O102">
        <f>SalesTable[[#This Row],[الكمية]]*SalesTable[[#This Row],[سعر الوحدة]]*(1-SalesTable[[#This Row],[الخصم]])</f>
        <v>78120</v>
      </c>
    </row>
    <row r="103" spans="1:15" x14ac:dyDescent="0.3">
      <c r="A103">
        <v>10102</v>
      </c>
      <c r="B103" t="s">
        <v>21</v>
      </c>
      <c r="C103" s="3">
        <v>46217</v>
      </c>
      <c r="D103" t="s">
        <v>95</v>
      </c>
      <c r="E103" t="s">
        <v>15</v>
      </c>
      <c r="F103" t="s">
        <v>84</v>
      </c>
      <c r="G103" t="s">
        <v>113</v>
      </c>
      <c r="H103">
        <v>2</v>
      </c>
      <c r="I103">
        <v>5200</v>
      </c>
      <c r="J103">
        <v>0.05</v>
      </c>
      <c r="K103" t="s">
        <v>38</v>
      </c>
      <c r="L103" t="s">
        <v>47</v>
      </c>
      <c r="M103" t="s">
        <v>171</v>
      </c>
      <c r="N103">
        <f>SalesTable[[#This Row],[الكمية]]*SalesTable[[#This Row],[سعر الوحدة]]</f>
        <v>10400</v>
      </c>
      <c r="O103">
        <f>SalesTable[[#This Row],[الكمية]]*SalesTable[[#This Row],[سعر الوحدة]]*(1-SalesTable[[#This Row],[الخصم]])</f>
        <v>9880</v>
      </c>
    </row>
    <row r="104" spans="1:15" x14ac:dyDescent="0.3">
      <c r="A104">
        <v>10103</v>
      </c>
      <c r="B104" t="s">
        <v>44</v>
      </c>
      <c r="C104" s="3">
        <v>46245</v>
      </c>
      <c r="D104" t="s">
        <v>22</v>
      </c>
      <c r="E104" t="s">
        <v>23</v>
      </c>
      <c r="F104" t="s">
        <v>16</v>
      </c>
      <c r="G104" t="s">
        <v>96</v>
      </c>
      <c r="H104">
        <v>5</v>
      </c>
      <c r="I104">
        <v>25000</v>
      </c>
      <c r="J104">
        <v>0.03</v>
      </c>
      <c r="K104" t="s">
        <v>18</v>
      </c>
      <c r="L104" t="s">
        <v>19</v>
      </c>
      <c r="M104" t="s">
        <v>172</v>
      </c>
      <c r="N104">
        <f>SalesTable[[#This Row],[الكمية]]*SalesTable[[#This Row],[سعر الوحدة]]</f>
        <v>125000</v>
      </c>
      <c r="O104">
        <f>SalesTable[[#This Row],[الكمية]]*SalesTable[[#This Row],[سعر الوحدة]]*(1-SalesTable[[#This Row],[الخصم]])</f>
        <v>121250</v>
      </c>
    </row>
    <row r="105" spans="1:15" x14ac:dyDescent="0.3">
      <c r="A105">
        <v>10104</v>
      </c>
      <c r="B105" t="s">
        <v>28</v>
      </c>
      <c r="C105" s="3">
        <v>46173</v>
      </c>
      <c r="D105" t="s">
        <v>37</v>
      </c>
      <c r="E105" t="s">
        <v>23</v>
      </c>
      <c r="F105" t="s">
        <v>87</v>
      </c>
      <c r="G105" t="s">
        <v>101</v>
      </c>
      <c r="H105">
        <v>1</v>
      </c>
      <c r="I105">
        <v>32000</v>
      </c>
      <c r="J105">
        <v>0.05</v>
      </c>
      <c r="K105" t="s">
        <v>38</v>
      </c>
      <c r="L105" t="s">
        <v>34</v>
      </c>
      <c r="M105" t="s">
        <v>83</v>
      </c>
      <c r="N105">
        <f>SalesTable[[#This Row],[الكمية]]*SalesTable[[#This Row],[سعر الوحدة]]</f>
        <v>32000</v>
      </c>
      <c r="O105">
        <f>SalesTable[[#This Row],[الكمية]]*SalesTable[[#This Row],[سعر الوحدة]]*(1-SalesTable[[#This Row],[الخصم]])</f>
        <v>30400</v>
      </c>
    </row>
    <row r="106" spans="1:15" x14ac:dyDescent="0.3">
      <c r="A106">
        <v>10105</v>
      </c>
      <c r="B106" t="s">
        <v>112</v>
      </c>
      <c r="C106" s="3">
        <v>46110</v>
      </c>
      <c r="D106" t="s">
        <v>37</v>
      </c>
      <c r="E106" t="s">
        <v>23</v>
      </c>
      <c r="F106" t="s">
        <v>31</v>
      </c>
      <c r="G106" t="s">
        <v>77</v>
      </c>
      <c r="H106">
        <v>7</v>
      </c>
      <c r="I106">
        <v>32000</v>
      </c>
      <c r="J106">
        <v>0.1</v>
      </c>
      <c r="K106" t="s">
        <v>55</v>
      </c>
      <c r="L106" t="s">
        <v>19</v>
      </c>
      <c r="M106" t="s">
        <v>168</v>
      </c>
      <c r="N106">
        <f>SalesTable[[#This Row],[الكمية]]*SalesTable[[#This Row],[سعر الوحدة]]</f>
        <v>224000</v>
      </c>
      <c r="O106">
        <f>SalesTable[[#This Row],[الكمية]]*SalesTable[[#This Row],[سعر الوحدة]]*(1-SalesTable[[#This Row],[الخصم]])</f>
        <v>201600</v>
      </c>
    </row>
    <row r="107" spans="1:15" x14ac:dyDescent="0.3">
      <c r="A107">
        <v>10106</v>
      </c>
      <c r="B107" t="s">
        <v>13</v>
      </c>
      <c r="C107" s="3">
        <v>46259</v>
      </c>
      <c r="D107" t="s">
        <v>95</v>
      </c>
      <c r="E107" t="s">
        <v>15</v>
      </c>
      <c r="F107" t="s">
        <v>31</v>
      </c>
      <c r="G107" t="s">
        <v>32</v>
      </c>
      <c r="H107">
        <v>10</v>
      </c>
      <c r="I107">
        <v>5200</v>
      </c>
      <c r="J107">
        <v>0.03</v>
      </c>
      <c r="K107" t="s">
        <v>38</v>
      </c>
      <c r="L107" t="s">
        <v>47</v>
      </c>
      <c r="M107" t="s">
        <v>173</v>
      </c>
      <c r="N107">
        <f>SalesTable[[#This Row],[الكمية]]*SalesTable[[#This Row],[سعر الوحدة]]</f>
        <v>52000</v>
      </c>
      <c r="O107">
        <f>SalesTable[[#This Row],[الكمية]]*SalesTable[[#This Row],[سعر الوحدة]]*(1-SalesTable[[#This Row],[الخصم]])</f>
        <v>50440</v>
      </c>
    </row>
    <row r="108" spans="1:15" x14ac:dyDescent="0.3">
      <c r="A108">
        <v>10107</v>
      </c>
      <c r="B108" t="s">
        <v>21</v>
      </c>
      <c r="C108" s="3">
        <v>46103</v>
      </c>
      <c r="D108" t="s">
        <v>14</v>
      </c>
      <c r="E108" t="s">
        <v>15</v>
      </c>
      <c r="F108" t="s">
        <v>24</v>
      </c>
      <c r="G108" t="s">
        <v>42</v>
      </c>
      <c r="H108">
        <v>5</v>
      </c>
      <c r="I108">
        <v>650</v>
      </c>
      <c r="J108">
        <v>0.15</v>
      </c>
      <c r="K108" t="s">
        <v>18</v>
      </c>
      <c r="L108" t="s">
        <v>47</v>
      </c>
      <c r="M108" t="s">
        <v>174</v>
      </c>
      <c r="N108">
        <f>SalesTable[[#This Row],[الكمية]]*SalesTable[[#This Row],[سعر الوحدة]]</f>
        <v>3250</v>
      </c>
      <c r="O108">
        <f>SalesTable[[#This Row],[الكمية]]*SalesTable[[#This Row],[سعر الوحدة]]*(1-SalesTable[[#This Row],[الخصم]])</f>
        <v>2762.5</v>
      </c>
    </row>
    <row r="109" spans="1:15" x14ac:dyDescent="0.3">
      <c r="A109">
        <v>10108</v>
      </c>
      <c r="B109" t="s">
        <v>52</v>
      </c>
      <c r="C109" s="3">
        <v>46256</v>
      </c>
      <c r="D109" t="s">
        <v>95</v>
      </c>
      <c r="E109" t="s">
        <v>15</v>
      </c>
      <c r="F109" t="s">
        <v>87</v>
      </c>
      <c r="G109" t="s">
        <v>103</v>
      </c>
      <c r="H109">
        <v>7</v>
      </c>
      <c r="I109">
        <v>5200</v>
      </c>
      <c r="J109">
        <v>0.15</v>
      </c>
      <c r="K109" t="s">
        <v>38</v>
      </c>
      <c r="L109" t="s">
        <v>26</v>
      </c>
      <c r="M109" t="s">
        <v>175</v>
      </c>
      <c r="N109">
        <f>SalesTable[[#This Row],[الكمية]]*SalesTable[[#This Row],[سعر الوحدة]]</f>
        <v>36400</v>
      </c>
      <c r="O109">
        <f>SalesTable[[#This Row],[الكمية]]*SalesTable[[#This Row],[سعر الوحدة]]*(1-SalesTable[[#This Row],[الخصم]])</f>
        <v>30940</v>
      </c>
    </row>
    <row r="110" spans="1:15" x14ac:dyDescent="0.3">
      <c r="A110">
        <v>10109</v>
      </c>
      <c r="B110" t="s">
        <v>94</v>
      </c>
      <c r="C110" s="3">
        <v>46206</v>
      </c>
      <c r="D110" t="s">
        <v>68</v>
      </c>
      <c r="E110" t="s">
        <v>46</v>
      </c>
      <c r="F110" t="s">
        <v>59</v>
      </c>
      <c r="G110" t="s">
        <v>60</v>
      </c>
      <c r="H110">
        <v>4</v>
      </c>
      <c r="I110">
        <v>1400</v>
      </c>
      <c r="J110">
        <v>7.0000000000000007E-2</v>
      </c>
      <c r="K110" t="s">
        <v>38</v>
      </c>
      <c r="L110" t="s">
        <v>34</v>
      </c>
      <c r="M110" t="s">
        <v>176</v>
      </c>
      <c r="N110">
        <f>SalesTable[[#This Row],[الكمية]]*SalesTable[[#This Row],[سعر الوحدة]]</f>
        <v>5600</v>
      </c>
      <c r="O110">
        <f>SalesTable[[#This Row],[الكمية]]*SalesTable[[#This Row],[سعر الوحدة]]*(1-SalesTable[[#This Row],[الخصم]])</f>
        <v>5208</v>
      </c>
    </row>
    <row r="111" spans="1:15" x14ac:dyDescent="0.3">
      <c r="A111">
        <v>10110</v>
      </c>
      <c r="B111" t="s">
        <v>28</v>
      </c>
      <c r="C111" s="3">
        <v>46333</v>
      </c>
      <c r="D111" t="s">
        <v>68</v>
      </c>
      <c r="E111" t="s">
        <v>46</v>
      </c>
      <c r="F111" t="s">
        <v>84</v>
      </c>
      <c r="G111" t="s">
        <v>85</v>
      </c>
      <c r="H111">
        <v>1</v>
      </c>
      <c r="I111">
        <v>1400</v>
      </c>
      <c r="J111">
        <v>0.1</v>
      </c>
      <c r="K111" t="s">
        <v>33</v>
      </c>
      <c r="L111" t="s">
        <v>34</v>
      </c>
      <c r="M111" t="s">
        <v>177</v>
      </c>
      <c r="N111">
        <f>SalesTable[[#This Row],[الكمية]]*SalesTable[[#This Row],[سعر الوحدة]]</f>
        <v>1400</v>
      </c>
      <c r="O111">
        <f>SalesTable[[#This Row],[الكمية]]*SalesTable[[#This Row],[سعر الوحدة]]*(1-SalesTable[[#This Row],[الخصم]])</f>
        <v>1260</v>
      </c>
    </row>
    <row r="112" spans="1:15" x14ac:dyDescent="0.3">
      <c r="A112">
        <v>10111</v>
      </c>
      <c r="B112" t="s">
        <v>52</v>
      </c>
      <c r="C112" s="3">
        <v>46370</v>
      </c>
      <c r="D112" t="s">
        <v>95</v>
      </c>
      <c r="E112" t="s">
        <v>15</v>
      </c>
      <c r="F112" t="s">
        <v>49</v>
      </c>
      <c r="G112" t="s">
        <v>50</v>
      </c>
      <c r="H112">
        <v>4</v>
      </c>
      <c r="I112">
        <v>5200</v>
      </c>
      <c r="J112">
        <v>0.1</v>
      </c>
      <c r="K112" t="s">
        <v>55</v>
      </c>
      <c r="L112" t="s">
        <v>19</v>
      </c>
      <c r="M112" t="s">
        <v>178</v>
      </c>
      <c r="N112">
        <f>SalesTable[[#This Row],[الكمية]]*SalesTable[[#This Row],[سعر الوحدة]]</f>
        <v>20800</v>
      </c>
      <c r="O112">
        <f>SalesTable[[#This Row],[الكمية]]*SalesTable[[#This Row],[سعر الوحدة]]*(1-SalesTable[[#This Row],[الخصم]])</f>
        <v>18720</v>
      </c>
    </row>
    <row r="113" spans="1:15" x14ac:dyDescent="0.3">
      <c r="A113">
        <v>10112</v>
      </c>
      <c r="B113" t="s">
        <v>112</v>
      </c>
      <c r="C113" s="3">
        <v>46069</v>
      </c>
      <c r="D113" t="s">
        <v>110</v>
      </c>
      <c r="E113" t="s">
        <v>46</v>
      </c>
      <c r="F113" t="s">
        <v>59</v>
      </c>
      <c r="G113" t="s">
        <v>60</v>
      </c>
      <c r="H113">
        <v>10</v>
      </c>
      <c r="I113">
        <v>450</v>
      </c>
      <c r="J113">
        <v>0.05</v>
      </c>
      <c r="K113" t="s">
        <v>38</v>
      </c>
      <c r="L113" t="s">
        <v>34</v>
      </c>
      <c r="M113" t="s">
        <v>179</v>
      </c>
      <c r="N113">
        <f>SalesTable[[#This Row],[الكمية]]*SalesTable[[#This Row],[سعر الوحدة]]</f>
        <v>4500</v>
      </c>
      <c r="O113">
        <f>SalesTable[[#This Row],[الكمية]]*SalesTable[[#This Row],[سعر الوحدة]]*(1-SalesTable[[#This Row],[الخصم]])</f>
        <v>4275</v>
      </c>
    </row>
    <row r="114" spans="1:15" x14ac:dyDescent="0.3">
      <c r="A114">
        <v>10113</v>
      </c>
      <c r="B114" t="s">
        <v>21</v>
      </c>
      <c r="C114" s="3">
        <v>46279</v>
      </c>
      <c r="D114" t="s">
        <v>37</v>
      </c>
      <c r="E114" t="s">
        <v>23</v>
      </c>
      <c r="F114" t="s">
        <v>31</v>
      </c>
      <c r="G114" t="s">
        <v>54</v>
      </c>
      <c r="H114">
        <v>9</v>
      </c>
      <c r="I114">
        <v>32000</v>
      </c>
      <c r="J114">
        <v>0.05</v>
      </c>
      <c r="K114" t="s">
        <v>38</v>
      </c>
      <c r="L114" t="s">
        <v>26</v>
      </c>
      <c r="M114" t="s">
        <v>180</v>
      </c>
      <c r="N114">
        <f>SalesTable[[#This Row],[الكمية]]*SalesTable[[#This Row],[سعر الوحدة]]</f>
        <v>288000</v>
      </c>
      <c r="O114">
        <f>SalesTable[[#This Row],[الكمية]]*SalesTable[[#This Row],[سعر الوحدة]]*(1-SalesTable[[#This Row],[الخصم]])</f>
        <v>273600</v>
      </c>
    </row>
    <row r="115" spans="1:15" x14ac:dyDescent="0.3">
      <c r="A115">
        <v>10114</v>
      </c>
      <c r="B115" t="s">
        <v>62</v>
      </c>
      <c r="C115" s="3">
        <v>46061</v>
      </c>
      <c r="D115" t="s">
        <v>90</v>
      </c>
      <c r="E115" t="s">
        <v>91</v>
      </c>
      <c r="F115" t="s">
        <v>59</v>
      </c>
      <c r="G115" t="s">
        <v>105</v>
      </c>
      <c r="H115">
        <v>6</v>
      </c>
      <c r="I115">
        <v>6500</v>
      </c>
      <c r="J115">
        <v>0</v>
      </c>
      <c r="K115" t="s">
        <v>55</v>
      </c>
      <c r="L115" t="s">
        <v>26</v>
      </c>
      <c r="M115" t="s">
        <v>181</v>
      </c>
      <c r="N115">
        <f>SalesTable[[#This Row],[الكمية]]*SalesTable[[#This Row],[سعر الوحدة]]</f>
        <v>39000</v>
      </c>
      <c r="O115">
        <f>SalesTable[[#This Row],[الكمية]]*SalesTable[[#This Row],[سعر الوحدة]]*(1-SalesTable[[#This Row],[الخصم]])</f>
        <v>39000</v>
      </c>
    </row>
    <row r="116" spans="1:15" x14ac:dyDescent="0.3">
      <c r="A116">
        <v>10115</v>
      </c>
      <c r="B116" t="s">
        <v>52</v>
      </c>
      <c r="C116" s="3">
        <v>46297</v>
      </c>
      <c r="D116" t="s">
        <v>68</v>
      </c>
      <c r="E116" t="s">
        <v>46</v>
      </c>
      <c r="F116" t="s">
        <v>49</v>
      </c>
      <c r="G116" t="s">
        <v>50</v>
      </c>
      <c r="H116">
        <v>7</v>
      </c>
      <c r="I116">
        <v>1400</v>
      </c>
      <c r="J116">
        <v>0</v>
      </c>
      <c r="K116" t="s">
        <v>18</v>
      </c>
      <c r="L116" t="s">
        <v>47</v>
      </c>
      <c r="M116" t="s">
        <v>182</v>
      </c>
      <c r="N116">
        <f>SalesTable[[#This Row],[الكمية]]*SalesTable[[#This Row],[سعر الوحدة]]</f>
        <v>9800</v>
      </c>
      <c r="O116">
        <f>SalesTable[[#This Row],[الكمية]]*SalesTable[[#This Row],[سعر الوحدة]]*(1-SalesTable[[#This Row],[الخصم]])</f>
        <v>9800</v>
      </c>
    </row>
    <row r="117" spans="1:15" x14ac:dyDescent="0.3">
      <c r="A117">
        <v>10116</v>
      </c>
      <c r="B117" t="s">
        <v>67</v>
      </c>
      <c r="C117" s="3">
        <v>46078</v>
      </c>
      <c r="D117" t="s">
        <v>14</v>
      </c>
      <c r="E117" t="s">
        <v>15</v>
      </c>
      <c r="F117" t="s">
        <v>87</v>
      </c>
      <c r="G117" t="s">
        <v>103</v>
      </c>
      <c r="H117">
        <v>7</v>
      </c>
      <c r="I117">
        <v>650</v>
      </c>
      <c r="J117">
        <v>0.15</v>
      </c>
      <c r="K117" t="s">
        <v>55</v>
      </c>
      <c r="L117" t="s">
        <v>47</v>
      </c>
      <c r="M117" t="s">
        <v>116</v>
      </c>
      <c r="N117">
        <f>SalesTable[[#This Row],[الكمية]]*SalesTable[[#This Row],[سعر الوحدة]]</f>
        <v>4550</v>
      </c>
      <c r="O117">
        <f>SalesTable[[#This Row],[الكمية]]*SalesTable[[#This Row],[سعر الوحدة]]*(1-SalesTable[[#This Row],[الخصم]])</f>
        <v>3867.5</v>
      </c>
    </row>
    <row r="118" spans="1:15" x14ac:dyDescent="0.3">
      <c r="A118">
        <v>10117</v>
      </c>
      <c r="B118" t="s">
        <v>44</v>
      </c>
      <c r="C118" s="3">
        <v>46348</v>
      </c>
      <c r="D118" t="s">
        <v>95</v>
      </c>
      <c r="E118" t="s">
        <v>15</v>
      </c>
      <c r="F118" t="s">
        <v>49</v>
      </c>
      <c r="G118" t="s">
        <v>122</v>
      </c>
      <c r="H118">
        <v>4</v>
      </c>
      <c r="I118">
        <v>5200</v>
      </c>
      <c r="J118">
        <v>0.15</v>
      </c>
      <c r="K118" t="s">
        <v>33</v>
      </c>
      <c r="L118" t="s">
        <v>34</v>
      </c>
      <c r="M118" t="s">
        <v>154</v>
      </c>
      <c r="N118">
        <f>SalesTable[[#This Row],[الكمية]]*SalesTable[[#This Row],[سعر الوحدة]]</f>
        <v>20800</v>
      </c>
      <c r="O118">
        <f>SalesTable[[#This Row],[الكمية]]*SalesTable[[#This Row],[سعر الوحدة]]*(1-SalesTable[[#This Row],[الخصم]])</f>
        <v>17680</v>
      </c>
    </row>
    <row r="119" spans="1:15" x14ac:dyDescent="0.3">
      <c r="A119">
        <v>10118</v>
      </c>
      <c r="B119" t="s">
        <v>62</v>
      </c>
      <c r="C119" s="3">
        <v>46082</v>
      </c>
      <c r="D119" t="s">
        <v>104</v>
      </c>
      <c r="E119" t="s">
        <v>23</v>
      </c>
      <c r="F119" t="s">
        <v>64</v>
      </c>
      <c r="G119" t="s">
        <v>71</v>
      </c>
      <c r="H119">
        <v>1</v>
      </c>
      <c r="I119">
        <v>28000</v>
      </c>
      <c r="J119">
        <v>0.05</v>
      </c>
      <c r="K119" t="s">
        <v>18</v>
      </c>
      <c r="L119" t="s">
        <v>26</v>
      </c>
      <c r="M119" t="s">
        <v>100</v>
      </c>
      <c r="N119">
        <f>SalesTable[[#This Row],[الكمية]]*SalesTable[[#This Row],[سعر الوحدة]]</f>
        <v>28000</v>
      </c>
      <c r="O119">
        <f>SalesTable[[#This Row],[الكمية]]*SalesTable[[#This Row],[سعر الوحدة]]*(1-SalesTable[[#This Row],[الخصم]])</f>
        <v>26600</v>
      </c>
    </row>
    <row r="120" spans="1:15" x14ac:dyDescent="0.3">
      <c r="A120">
        <v>10119</v>
      </c>
      <c r="B120" t="s">
        <v>21</v>
      </c>
      <c r="C120" s="3">
        <v>46237</v>
      </c>
      <c r="D120" t="s">
        <v>37</v>
      </c>
      <c r="E120" t="s">
        <v>23</v>
      </c>
      <c r="F120" t="s">
        <v>84</v>
      </c>
      <c r="G120" t="s">
        <v>85</v>
      </c>
      <c r="H120">
        <v>6</v>
      </c>
      <c r="I120">
        <v>32000</v>
      </c>
      <c r="J120">
        <v>0.15</v>
      </c>
      <c r="K120" t="s">
        <v>55</v>
      </c>
      <c r="L120" t="s">
        <v>47</v>
      </c>
      <c r="M120" t="s">
        <v>183</v>
      </c>
      <c r="N120">
        <f>SalesTable[[#This Row],[الكمية]]*SalesTable[[#This Row],[سعر الوحدة]]</f>
        <v>192000</v>
      </c>
      <c r="O120">
        <f>SalesTable[[#This Row],[الكمية]]*SalesTable[[#This Row],[سعر الوحدة]]*(1-SalesTable[[#This Row],[الخصم]])</f>
        <v>163200</v>
      </c>
    </row>
    <row r="121" spans="1:15" x14ac:dyDescent="0.3">
      <c r="A121">
        <v>10120</v>
      </c>
      <c r="B121" t="s">
        <v>28</v>
      </c>
      <c r="C121" s="3">
        <v>46376</v>
      </c>
      <c r="D121" t="s">
        <v>68</v>
      </c>
      <c r="E121" t="s">
        <v>46</v>
      </c>
      <c r="F121" t="s">
        <v>59</v>
      </c>
      <c r="G121" t="s">
        <v>75</v>
      </c>
      <c r="H121">
        <v>7</v>
      </c>
      <c r="I121">
        <v>1400</v>
      </c>
      <c r="J121">
        <v>0.05</v>
      </c>
      <c r="K121" t="s">
        <v>38</v>
      </c>
      <c r="L121" t="s">
        <v>26</v>
      </c>
      <c r="M121" t="s">
        <v>172</v>
      </c>
      <c r="N121">
        <f>SalesTable[[#This Row],[الكمية]]*SalesTable[[#This Row],[سعر الوحدة]]</f>
        <v>9800</v>
      </c>
      <c r="O121">
        <f>SalesTable[[#This Row],[الكمية]]*SalesTable[[#This Row],[سعر الوحدة]]*(1-SalesTable[[#This Row],[الخصم]])</f>
        <v>9310</v>
      </c>
    </row>
    <row r="122" spans="1:15" x14ac:dyDescent="0.3">
      <c r="A122">
        <v>10121</v>
      </c>
      <c r="B122" t="s">
        <v>67</v>
      </c>
      <c r="C122" s="3">
        <v>46301</v>
      </c>
      <c r="D122" t="s">
        <v>48</v>
      </c>
      <c r="E122" t="s">
        <v>30</v>
      </c>
      <c r="F122" t="s">
        <v>31</v>
      </c>
      <c r="G122" t="s">
        <v>32</v>
      </c>
      <c r="H122">
        <v>2</v>
      </c>
      <c r="I122">
        <v>9000</v>
      </c>
      <c r="J122">
        <v>0.15</v>
      </c>
      <c r="K122" t="s">
        <v>38</v>
      </c>
      <c r="L122" t="s">
        <v>19</v>
      </c>
      <c r="M122" t="s">
        <v>181</v>
      </c>
      <c r="N122">
        <f>SalesTable[[#This Row],[الكمية]]*SalesTable[[#This Row],[سعر الوحدة]]</f>
        <v>18000</v>
      </c>
      <c r="O122">
        <f>SalesTable[[#This Row],[الكمية]]*SalesTable[[#This Row],[سعر الوحدة]]*(1-SalesTable[[#This Row],[الخصم]])</f>
        <v>15300</v>
      </c>
    </row>
    <row r="123" spans="1:15" x14ac:dyDescent="0.3">
      <c r="A123">
        <v>10122</v>
      </c>
      <c r="B123" t="s">
        <v>13</v>
      </c>
      <c r="C123" s="3">
        <v>46351</v>
      </c>
      <c r="D123" t="s">
        <v>110</v>
      </c>
      <c r="E123" t="s">
        <v>46</v>
      </c>
      <c r="F123" t="s">
        <v>31</v>
      </c>
      <c r="G123" t="s">
        <v>54</v>
      </c>
      <c r="H123">
        <v>8</v>
      </c>
      <c r="I123">
        <v>450</v>
      </c>
      <c r="J123">
        <v>0</v>
      </c>
      <c r="K123" t="s">
        <v>18</v>
      </c>
      <c r="L123" t="s">
        <v>19</v>
      </c>
      <c r="M123" t="s">
        <v>106</v>
      </c>
      <c r="N123">
        <f>SalesTable[[#This Row],[الكمية]]*SalesTable[[#This Row],[سعر الوحدة]]</f>
        <v>3600</v>
      </c>
      <c r="O123">
        <f>SalesTable[[#This Row],[الكمية]]*SalesTable[[#This Row],[سعر الوحدة]]*(1-SalesTable[[#This Row],[الخصم]])</f>
        <v>3600</v>
      </c>
    </row>
    <row r="124" spans="1:15" x14ac:dyDescent="0.3">
      <c r="A124">
        <v>10123</v>
      </c>
      <c r="B124" t="s">
        <v>13</v>
      </c>
      <c r="C124" s="3">
        <v>46323</v>
      </c>
      <c r="D124" t="s">
        <v>45</v>
      </c>
      <c r="E124" t="s">
        <v>46</v>
      </c>
      <c r="F124" t="s">
        <v>64</v>
      </c>
      <c r="G124" t="s">
        <v>184</v>
      </c>
      <c r="H124">
        <v>2</v>
      </c>
      <c r="I124">
        <v>1200</v>
      </c>
      <c r="J124">
        <v>0.1</v>
      </c>
      <c r="K124" t="s">
        <v>55</v>
      </c>
      <c r="L124" t="s">
        <v>26</v>
      </c>
      <c r="M124" t="s">
        <v>185</v>
      </c>
      <c r="N124">
        <f>SalesTable[[#This Row],[الكمية]]*SalesTable[[#This Row],[سعر الوحدة]]</f>
        <v>2400</v>
      </c>
      <c r="O124">
        <f>SalesTable[[#This Row],[الكمية]]*SalesTable[[#This Row],[سعر الوحدة]]*(1-SalesTable[[#This Row],[الخصم]])</f>
        <v>2160</v>
      </c>
    </row>
    <row r="125" spans="1:15" x14ac:dyDescent="0.3">
      <c r="A125">
        <v>10124</v>
      </c>
      <c r="B125" t="s">
        <v>112</v>
      </c>
      <c r="C125" s="3">
        <v>46299</v>
      </c>
      <c r="D125" t="s">
        <v>40</v>
      </c>
      <c r="E125" t="s">
        <v>41</v>
      </c>
      <c r="F125" t="s">
        <v>64</v>
      </c>
      <c r="G125" t="s">
        <v>71</v>
      </c>
      <c r="H125">
        <v>5</v>
      </c>
      <c r="I125">
        <v>150</v>
      </c>
      <c r="J125">
        <v>0.03</v>
      </c>
      <c r="K125" t="s">
        <v>38</v>
      </c>
      <c r="L125" t="s">
        <v>26</v>
      </c>
      <c r="M125" t="s">
        <v>186</v>
      </c>
      <c r="N125">
        <f>SalesTable[[#This Row],[الكمية]]*SalesTable[[#This Row],[سعر الوحدة]]</f>
        <v>750</v>
      </c>
      <c r="O125">
        <f>SalesTable[[#This Row],[الكمية]]*SalesTable[[#This Row],[سعر الوحدة]]*(1-SalesTable[[#This Row],[الخصم]])</f>
        <v>727.5</v>
      </c>
    </row>
    <row r="126" spans="1:15" x14ac:dyDescent="0.3">
      <c r="A126">
        <v>10125</v>
      </c>
      <c r="B126" t="s">
        <v>13</v>
      </c>
      <c r="C126" s="3">
        <v>46324</v>
      </c>
      <c r="D126" t="s">
        <v>14</v>
      </c>
      <c r="E126" t="s">
        <v>15</v>
      </c>
      <c r="F126" t="s">
        <v>24</v>
      </c>
      <c r="G126" t="s">
        <v>73</v>
      </c>
      <c r="H126">
        <v>1</v>
      </c>
      <c r="I126">
        <v>650</v>
      </c>
      <c r="J126">
        <v>0.05</v>
      </c>
      <c r="K126" t="s">
        <v>38</v>
      </c>
      <c r="L126" t="s">
        <v>19</v>
      </c>
      <c r="M126" t="s">
        <v>187</v>
      </c>
      <c r="N126">
        <f>SalesTable[[#This Row],[الكمية]]*SalesTable[[#This Row],[سعر الوحدة]]</f>
        <v>650</v>
      </c>
      <c r="O126">
        <f>SalesTable[[#This Row],[الكمية]]*SalesTable[[#This Row],[سعر الوحدة]]*(1-SalesTable[[#This Row],[الخصم]])</f>
        <v>617.5</v>
      </c>
    </row>
    <row r="127" spans="1:15" x14ac:dyDescent="0.3">
      <c r="A127">
        <v>10126</v>
      </c>
      <c r="B127" t="s">
        <v>44</v>
      </c>
      <c r="C127" s="3">
        <v>46055</v>
      </c>
      <c r="D127" t="s">
        <v>110</v>
      </c>
      <c r="E127" t="s">
        <v>46</v>
      </c>
      <c r="F127" t="s">
        <v>24</v>
      </c>
      <c r="G127" t="s">
        <v>73</v>
      </c>
      <c r="H127">
        <v>7</v>
      </c>
      <c r="I127">
        <v>450</v>
      </c>
      <c r="J127">
        <v>0.1</v>
      </c>
      <c r="K127" t="s">
        <v>33</v>
      </c>
      <c r="L127" t="s">
        <v>47</v>
      </c>
      <c r="M127" t="s">
        <v>188</v>
      </c>
      <c r="N127">
        <f>SalesTable[[#This Row],[الكمية]]*SalesTable[[#This Row],[سعر الوحدة]]</f>
        <v>3150</v>
      </c>
      <c r="O127">
        <f>SalesTable[[#This Row],[الكمية]]*SalesTable[[#This Row],[سعر الوحدة]]*(1-SalesTable[[#This Row],[الخصم]])</f>
        <v>2835</v>
      </c>
    </row>
    <row r="128" spans="1:15" x14ac:dyDescent="0.3">
      <c r="A128">
        <v>10127</v>
      </c>
      <c r="B128" t="s">
        <v>94</v>
      </c>
      <c r="C128" s="3">
        <v>46045</v>
      </c>
      <c r="D128" t="s">
        <v>53</v>
      </c>
      <c r="E128" t="s">
        <v>15</v>
      </c>
      <c r="F128" t="s">
        <v>16</v>
      </c>
      <c r="G128" t="s">
        <v>189</v>
      </c>
      <c r="H128">
        <v>9</v>
      </c>
      <c r="I128">
        <v>3200</v>
      </c>
      <c r="J128">
        <v>0.03</v>
      </c>
      <c r="K128" t="s">
        <v>38</v>
      </c>
      <c r="L128" t="s">
        <v>47</v>
      </c>
      <c r="M128" t="s">
        <v>190</v>
      </c>
      <c r="N128">
        <f>SalesTable[[#This Row],[الكمية]]*SalesTable[[#This Row],[سعر الوحدة]]</f>
        <v>28800</v>
      </c>
      <c r="O128">
        <f>SalesTable[[#This Row],[الكمية]]*SalesTable[[#This Row],[سعر الوحدة]]*(1-SalesTable[[#This Row],[الخصم]])</f>
        <v>27936</v>
      </c>
    </row>
    <row r="129" spans="1:15" x14ac:dyDescent="0.3">
      <c r="A129">
        <v>10128</v>
      </c>
      <c r="B129" t="s">
        <v>44</v>
      </c>
      <c r="C129" s="3">
        <v>46274</v>
      </c>
      <c r="D129" t="s">
        <v>22</v>
      </c>
      <c r="E129" t="s">
        <v>23</v>
      </c>
      <c r="F129" t="s">
        <v>59</v>
      </c>
      <c r="G129" t="s">
        <v>105</v>
      </c>
      <c r="H129">
        <v>7</v>
      </c>
      <c r="I129">
        <v>25000</v>
      </c>
      <c r="J129">
        <v>0.15</v>
      </c>
      <c r="K129" t="s">
        <v>33</v>
      </c>
      <c r="L129" t="s">
        <v>19</v>
      </c>
      <c r="M129" t="s">
        <v>157</v>
      </c>
      <c r="N129">
        <f>SalesTable[[#This Row],[الكمية]]*SalesTable[[#This Row],[سعر الوحدة]]</f>
        <v>175000</v>
      </c>
      <c r="O129">
        <f>SalesTable[[#This Row],[الكمية]]*SalesTable[[#This Row],[سعر الوحدة]]*(1-SalesTable[[#This Row],[الخصم]])</f>
        <v>148750</v>
      </c>
    </row>
    <row r="130" spans="1:15" x14ac:dyDescent="0.3">
      <c r="A130">
        <v>10129</v>
      </c>
      <c r="B130" t="s">
        <v>94</v>
      </c>
      <c r="C130" s="3">
        <v>46347</v>
      </c>
      <c r="D130" t="s">
        <v>70</v>
      </c>
      <c r="E130" t="s">
        <v>46</v>
      </c>
      <c r="F130" t="s">
        <v>64</v>
      </c>
      <c r="G130" t="s">
        <v>71</v>
      </c>
      <c r="H130">
        <v>3</v>
      </c>
      <c r="I130">
        <v>1800</v>
      </c>
      <c r="J130">
        <v>0.05</v>
      </c>
      <c r="K130" t="s">
        <v>38</v>
      </c>
      <c r="L130" t="s">
        <v>47</v>
      </c>
      <c r="M130" t="s">
        <v>191</v>
      </c>
      <c r="N130">
        <f>SalesTable[[#This Row],[الكمية]]*SalesTable[[#This Row],[سعر الوحدة]]</f>
        <v>5400</v>
      </c>
      <c r="O130">
        <f>SalesTable[[#This Row],[الكمية]]*SalesTable[[#This Row],[سعر الوحدة]]*(1-SalesTable[[#This Row],[الخصم]])</f>
        <v>5130</v>
      </c>
    </row>
    <row r="131" spans="1:15" x14ac:dyDescent="0.3">
      <c r="A131">
        <v>10130</v>
      </c>
      <c r="B131" t="s">
        <v>44</v>
      </c>
      <c r="C131" s="3">
        <v>46382</v>
      </c>
      <c r="D131" t="s">
        <v>110</v>
      </c>
      <c r="E131" t="s">
        <v>46</v>
      </c>
      <c r="F131" t="s">
        <v>59</v>
      </c>
      <c r="G131" t="s">
        <v>75</v>
      </c>
      <c r="H131">
        <v>10</v>
      </c>
      <c r="I131">
        <v>450</v>
      </c>
      <c r="J131">
        <v>7.0000000000000007E-2</v>
      </c>
      <c r="K131" t="s">
        <v>18</v>
      </c>
      <c r="L131" t="s">
        <v>26</v>
      </c>
      <c r="M131" t="s">
        <v>83</v>
      </c>
      <c r="N131">
        <f>SalesTable[[#This Row],[الكمية]]*SalesTable[[#This Row],[سعر الوحدة]]</f>
        <v>4500</v>
      </c>
      <c r="O131">
        <f>SalesTable[[#This Row],[الكمية]]*SalesTable[[#This Row],[سعر الوحدة]]*(1-SalesTable[[#This Row],[الخصم]])</f>
        <v>4185</v>
      </c>
    </row>
    <row r="132" spans="1:15" x14ac:dyDescent="0.3">
      <c r="A132">
        <v>10131</v>
      </c>
      <c r="B132" t="s">
        <v>36</v>
      </c>
      <c r="C132" s="3">
        <v>46235</v>
      </c>
      <c r="D132" t="s">
        <v>48</v>
      </c>
      <c r="E132" t="s">
        <v>30</v>
      </c>
      <c r="F132" t="s">
        <v>31</v>
      </c>
      <c r="G132" t="s">
        <v>32</v>
      </c>
      <c r="H132">
        <v>6</v>
      </c>
      <c r="I132">
        <v>9000</v>
      </c>
      <c r="J132">
        <v>7.0000000000000007E-2</v>
      </c>
      <c r="K132" t="s">
        <v>18</v>
      </c>
      <c r="L132" t="s">
        <v>34</v>
      </c>
      <c r="M132" t="s">
        <v>192</v>
      </c>
      <c r="N132">
        <f>SalesTable[[#This Row],[الكمية]]*SalesTable[[#This Row],[سعر الوحدة]]</f>
        <v>54000</v>
      </c>
      <c r="O132">
        <f>SalesTable[[#This Row],[الكمية]]*SalesTable[[#This Row],[سعر الوحدة]]*(1-SalesTable[[#This Row],[الخصم]])</f>
        <v>50220</v>
      </c>
    </row>
    <row r="133" spans="1:15" x14ac:dyDescent="0.3">
      <c r="A133">
        <v>10132</v>
      </c>
      <c r="B133" t="s">
        <v>62</v>
      </c>
      <c r="C133" s="3">
        <v>46057</v>
      </c>
      <c r="D133" t="s">
        <v>70</v>
      </c>
      <c r="E133" t="s">
        <v>46</v>
      </c>
      <c r="F133" t="s">
        <v>87</v>
      </c>
      <c r="G133" t="s">
        <v>88</v>
      </c>
      <c r="H133">
        <v>3</v>
      </c>
      <c r="I133">
        <v>1800</v>
      </c>
      <c r="J133">
        <v>0.15</v>
      </c>
      <c r="K133" t="s">
        <v>18</v>
      </c>
      <c r="L133" t="s">
        <v>19</v>
      </c>
      <c r="M133" t="s">
        <v>193</v>
      </c>
      <c r="N133">
        <f>SalesTable[[#This Row],[الكمية]]*SalesTable[[#This Row],[سعر الوحدة]]</f>
        <v>5400</v>
      </c>
      <c r="O133">
        <f>SalesTable[[#This Row],[الكمية]]*SalesTable[[#This Row],[سعر الوحدة]]*(1-SalesTable[[#This Row],[الخصم]])</f>
        <v>4590</v>
      </c>
    </row>
    <row r="134" spans="1:15" x14ac:dyDescent="0.3">
      <c r="A134">
        <v>10133</v>
      </c>
      <c r="B134" t="s">
        <v>28</v>
      </c>
      <c r="C134" s="3">
        <v>46323</v>
      </c>
      <c r="D134" t="s">
        <v>29</v>
      </c>
      <c r="E134" t="s">
        <v>30</v>
      </c>
      <c r="F134" t="s">
        <v>16</v>
      </c>
      <c r="G134" t="s">
        <v>79</v>
      </c>
      <c r="H134">
        <v>3</v>
      </c>
      <c r="I134">
        <v>7500</v>
      </c>
      <c r="J134">
        <v>0.1</v>
      </c>
      <c r="K134" t="s">
        <v>38</v>
      </c>
      <c r="L134" t="s">
        <v>19</v>
      </c>
      <c r="M134" t="s">
        <v>194</v>
      </c>
      <c r="N134">
        <f>SalesTable[[#This Row],[الكمية]]*SalesTable[[#This Row],[سعر الوحدة]]</f>
        <v>22500</v>
      </c>
      <c r="O134">
        <f>SalesTable[[#This Row],[الكمية]]*SalesTable[[#This Row],[سعر الوحدة]]*(1-SalesTable[[#This Row],[الخصم]])</f>
        <v>20250</v>
      </c>
    </row>
    <row r="135" spans="1:15" x14ac:dyDescent="0.3">
      <c r="A135">
        <v>10134</v>
      </c>
      <c r="B135" t="s">
        <v>94</v>
      </c>
      <c r="C135" s="3">
        <v>46182</v>
      </c>
      <c r="D135" t="s">
        <v>70</v>
      </c>
      <c r="E135" t="s">
        <v>46</v>
      </c>
      <c r="F135" t="s">
        <v>84</v>
      </c>
      <c r="G135" t="s">
        <v>113</v>
      </c>
      <c r="H135">
        <v>1</v>
      </c>
      <c r="I135">
        <v>1800</v>
      </c>
      <c r="J135">
        <v>0.05</v>
      </c>
      <c r="K135" t="s">
        <v>38</v>
      </c>
      <c r="L135" t="s">
        <v>19</v>
      </c>
      <c r="M135" t="s">
        <v>43</v>
      </c>
      <c r="N135">
        <f>SalesTable[[#This Row],[الكمية]]*SalesTable[[#This Row],[سعر الوحدة]]</f>
        <v>1800</v>
      </c>
      <c r="O135">
        <f>SalesTable[[#This Row],[الكمية]]*SalesTable[[#This Row],[سعر الوحدة]]*(1-SalesTable[[#This Row],[الخصم]])</f>
        <v>1710</v>
      </c>
    </row>
    <row r="136" spans="1:15" x14ac:dyDescent="0.3">
      <c r="A136">
        <v>10135</v>
      </c>
      <c r="B136" t="s">
        <v>44</v>
      </c>
      <c r="C136" s="3">
        <v>46202</v>
      </c>
      <c r="D136" t="s">
        <v>53</v>
      </c>
      <c r="E136" t="s">
        <v>15</v>
      </c>
      <c r="F136" t="s">
        <v>31</v>
      </c>
      <c r="G136" t="s">
        <v>54</v>
      </c>
      <c r="H136">
        <v>8</v>
      </c>
      <c r="I136">
        <v>3200</v>
      </c>
      <c r="J136">
        <v>0.03</v>
      </c>
      <c r="K136" t="s">
        <v>38</v>
      </c>
      <c r="L136" t="s">
        <v>19</v>
      </c>
      <c r="M136" t="s">
        <v>35</v>
      </c>
      <c r="N136">
        <f>SalesTable[[#This Row],[الكمية]]*SalesTable[[#This Row],[سعر الوحدة]]</f>
        <v>25600</v>
      </c>
      <c r="O136">
        <f>SalesTable[[#This Row],[الكمية]]*SalesTable[[#This Row],[سعر الوحدة]]*(1-SalesTable[[#This Row],[الخصم]])</f>
        <v>24832</v>
      </c>
    </row>
    <row r="137" spans="1:15" x14ac:dyDescent="0.3">
      <c r="A137">
        <v>10136</v>
      </c>
      <c r="B137" t="s">
        <v>94</v>
      </c>
      <c r="C137" s="3">
        <v>46368</v>
      </c>
      <c r="D137" t="s">
        <v>95</v>
      </c>
      <c r="E137" t="s">
        <v>15</v>
      </c>
      <c r="F137" t="s">
        <v>31</v>
      </c>
      <c r="G137" t="s">
        <v>32</v>
      </c>
      <c r="H137">
        <v>9</v>
      </c>
      <c r="I137">
        <v>5200</v>
      </c>
      <c r="J137">
        <v>0.1</v>
      </c>
      <c r="K137" t="s">
        <v>18</v>
      </c>
      <c r="L137" t="s">
        <v>34</v>
      </c>
      <c r="M137" t="s">
        <v>142</v>
      </c>
      <c r="N137">
        <f>SalesTable[[#This Row],[الكمية]]*SalesTable[[#This Row],[سعر الوحدة]]</f>
        <v>46800</v>
      </c>
      <c r="O137">
        <f>SalesTable[[#This Row],[الكمية]]*SalesTable[[#This Row],[سعر الوحدة]]*(1-SalesTable[[#This Row],[الخصم]])</f>
        <v>42120</v>
      </c>
    </row>
    <row r="138" spans="1:15" x14ac:dyDescent="0.3">
      <c r="A138">
        <v>10137</v>
      </c>
      <c r="B138" t="s">
        <v>67</v>
      </c>
      <c r="C138" s="3">
        <v>46026</v>
      </c>
      <c r="D138" t="s">
        <v>37</v>
      </c>
      <c r="E138" t="s">
        <v>23</v>
      </c>
      <c r="F138" t="s">
        <v>87</v>
      </c>
      <c r="G138" t="s">
        <v>103</v>
      </c>
      <c r="H138">
        <v>5</v>
      </c>
      <c r="I138">
        <v>32000</v>
      </c>
      <c r="J138">
        <v>0.05</v>
      </c>
      <c r="K138" t="s">
        <v>55</v>
      </c>
      <c r="L138" t="s">
        <v>26</v>
      </c>
      <c r="M138" t="s">
        <v>195</v>
      </c>
      <c r="N138">
        <f>SalesTable[[#This Row],[الكمية]]*SalesTable[[#This Row],[سعر الوحدة]]</f>
        <v>160000</v>
      </c>
      <c r="O138">
        <f>SalesTable[[#This Row],[الكمية]]*SalesTable[[#This Row],[سعر الوحدة]]*(1-SalesTable[[#This Row],[الخصم]])</f>
        <v>152000</v>
      </c>
    </row>
    <row r="139" spans="1:15" x14ac:dyDescent="0.3">
      <c r="A139">
        <v>10138</v>
      </c>
      <c r="B139" t="s">
        <v>28</v>
      </c>
      <c r="C139" s="3">
        <v>46069</v>
      </c>
      <c r="D139" t="s">
        <v>14</v>
      </c>
      <c r="E139" t="s">
        <v>15</v>
      </c>
      <c r="F139" t="s">
        <v>84</v>
      </c>
      <c r="G139" t="s">
        <v>120</v>
      </c>
      <c r="H139">
        <v>3</v>
      </c>
      <c r="I139">
        <v>650</v>
      </c>
      <c r="J139">
        <v>0.15</v>
      </c>
      <c r="K139" t="s">
        <v>55</v>
      </c>
      <c r="L139" t="s">
        <v>47</v>
      </c>
      <c r="M139" t="s">
        <v>97</v>
      </c>
      <c r="N139">
        <f>SalesTable[[#This Row],[الكمية]]*SalesTable[[#This Row],[سعر الوحدة]]</f>
        <v>1950</v>
      </c>
      <c r="O139">
        <f>SalesTable[[#This Row],[الكمية]]*SalesTable[[#This Row],[سعر الوحدة]]*(1-SalesTable[[#This Row],[الخصم]])</f>
        <v>1657.5</v>
      </c>
    </row>
    <row r="140" spans="1:15" x14ac:dyDescent="0.3">
      <c r="A140">
        <v>10139</v>
      </c>
      <c r="B140" t="s">
        <v>67</v>
      </c>
      <c r="C140" s="3">
        <v>46313</v>
      </c>
      <c r="D140" t="s">
        <v>48</v>
      </c>
      <c r="E140" t="s">
        <v>30</v>
      </c>
      <c r="F140" t="s">
        <v>49</v>
      </c>
      <c r="G140" t="s">
        <v>50</v>
      </c>
      <c r="H140">
        <v>6</v>
      </c>
      <c r="I140">
        <v>9000</v>
      </c>
      <c r="J140">
        <v>0.05</v>
      </c>
      <c r="K140" t="s">
        <v>18</v>
      </c>
      <c r="L140" t="s">
        <v>19</v>
      </c>
      <c r="M140" t="s">
        <v>196</v>
      </c>
      <c r="N140">
        <f>SalesTable[[#This Row],[الكمية]]*SalesTable[[#This Row],[سعر الوحدة]]</f>
        <v>54000</v>
      </c>
      <c r="O140">
        <f>SalesTable[[#This Row],[الكمية]]*SalesTable[[#This Row],[سعر الوحدة]]*(1-SalesTable[[#This Row],[الخصم]])</f>
        <v>51300</v>
      </c>
    </row>
    <row r="141" spans="1:15" x14ac:dyDescent="0.3">
      <c r="A141">
        <v>10140</v>
      </c>
      <c r="B141" t="s">
        <v>36</v>
      </c>
      <c r="C141" s="3">
        <v>46271</v>
      </c>
      <c r="D141" t="s">
        <v>37</v>
      </c>
      <c r="E141" t="s">
        <v>23</v>
      </c>
      <c r="F141" t="s">
        <v>24</v>
      </c>
      <c r="G141" t="s">
        <v>25</v>
      </c>
      <c r="H141">
        <v>5</v>
      </c>
      <c r="I141">
        <v>32000</v>
      </c>
      <c r="J141">
        <v>7.0000000000000007E-2</v>
      </c>
      <c r="K141" t="s">
        <v>33</v>
      </c>
      <c r="L141" t="s">
        <v>47</v>
      </c>
      <c r="M141" t="s">
        <v>197</v>
      </c>
      <c r="N141">
        <f>SalesTable[[#This Row],[الكمية]]*SalesTable[[#This Row],[سعر الوحدة]]</f>
        <v>160000</v>
      </c>
      <c r="O141">
        <f>SalesTable[[#This Row],[الكمية]]*SalesTable[[#This Row],[سعر الوحدة]]*(1-SalesTable[[#This Row],[الخصم]])</f>
        <v>148800</v>
      </c>
    </row>
    <row r="142" spans="1:15" x14ac:dyDescent="0.3">
      <c r="A142">
        <v>10141</v>
      </c>
      <c r="B142" t="s">
        <v>52</v>
      </c>
      <c r="C142" s="3">
        <v>46370</v>
      </c>
      <c r="D142" t="s">
        <v>45</v>
      </c>
      <c r="E142" t="s">
        <v>46</v>
      </c>
      <c r="F142" t="s">
        <v>16</v>
      </c>
      <c r="G142" t="s">
        <v>79</v>
      </c>
      <c r="H142">
        <v>7</v>
      </c>
      <c r="I142">
        <v>1200</v>
      </c>
      <c r="J142">
        <v>0</v>
      </c>
      <c r="K142" t="s">
        <v>33</v>
      </c>
      <c r="L142" t="s">
        <v>34</v>
      </c>
      <c r="M142" t="s">
        <v>198</v>
      </c>
      <c r="N142">
        <f>SalesTable[[#This Row],[الكمية]]*SalesTable[[#This Row],[سعر الوحدة]]</f>
        <v>8400</v>
      </c>
      <c r="O142">
        <f>SalesTable[[#This Row],[الكمية]]*SalesTable[[#This Row],[سعر الوحدة]]*(1-SalesTable[[#This Row],[الخصم]])</f>
        <v>8400</v>
      </c>
    </row>
    <row r="143" spans="1:15" x14ac:dyDescent="0.3">
      <c r="A143">
        <v>10142</v>
      </c>
      <c r="B143" t="s">
        <v>13</v>
      </c>
      <c r="C143" s="3">
        <v>46177</v>
      </c>
      <c r="D143" t="s">
        <v>45</v>
      </c>
      <c r="E143" t="s">
        <v>46</v>
      </c>
      <c r="F143" t="s">
        <v>84</v>
      </c>
      <c r="G143" t="s">
        <v>113</v>
      </c>
      <c r="H143">
        <v>1</v>
      </c>
      <c r="I143">
        <v>1200</v>
      </c>
      <c r="J143">
        <v>0</v>
      </c>
      <c r="K143" t="s">
        <v>55</v>
      </c>
      <c r="L143" t="s">
        <v>26</v>
      </c>
      <c r="M143" t="s">
        <v>173</v>
      </c>
      <c r="N143">
        <f>SalesTable[[#This Row],[الكمية]]*SalesTable[[#This Row],[سعر الوحدة]]</f>
        <v>1200</v>
      </c>
      <c r="O143">
        <f>SalesTable[[#This Row],[الكمية]]*SalesTable[[#This Row],[سعر الوحدة]]*(1-SalesTable[[#This Row],[الخصم]])</f>
        <v>1200</v>
      </c>
    </row>
    <row r="144" spans="1:15" x14ac:dyDescent="0.3">
      <c r="A144">
        <v>10143</v>
      </c>
      <c r="B144" t="s">
        <v>36</v>
      </c>
      <c r="C144" s="3">
        <v>46112</v>
      </c>
      <c r="D144" t="s">
        <v>110</v>
      </c>
      <c r="E144" t="s">
        <v>46</v>
      </c>
      <c r="F144" t="s">
        <v>49</v>
      </c>
      <c r="G144" t="s">
        <v>50</v>
      </c>
      <c r="H144">
        <v>1</v>
      </c>
      <c r="I144">
        <v>450</v>
      </c>
      <c r="J144">
        <v>7.0000000000000007E-2</v>
      </c>
      <c r="K144" t="s">
        <v>55</v>
      </c>
      <c r="L144" t="s">
        <v>47</v>
      </c>
      <c r="M144" t="s">
        <v>199</v>
      </c>
      <c r="N144">
        <f>SalesTable[[#This Row],[الكمية]]*SalesTable[[#This Row],[سعر الوحدة]]</f>
        <v>450</v>
      </c>
      <c r="O144">
        <f>SalesTable[[#This Row],[الكمية]]*SalesTable[[#This Row],[سعر الوحدة]]*(1-SalesTable[[#This Row],[الخصم]])</f>
        <v>418.5</v>
      </c>
    </row>
    <row r="145" spans="1:15" x14ac:dyDescent="0.3">
      <c r="A145">
        <v>10144</v>
      </c>
      <c r="B145" t="s">
        <v>67</v>
      </c>
      <c r="C145" s="3">
        <v>46059</v>
      </c>
      <c r="D145" t="s">
        <v>81</v>
      </c>
      <c r="E145" t="s">
        <v>41</v>
      </c>
      <c r="F145" t="s">
        <v>31</v>
      </c>
      <c r="G145" t="s">
        <v>77</v>
      </c>
      <c r="H145">
        <v>9</v>
      </c>
      <c r="I145">
        <v>2200</v>
      </c>
      <c r="J145">
        <v>0.15</v>
      </c>
      <c r="K145" t="s">
        <v>33</v>
      </c>
      <c r="L145" t="s">
        <v>19</v>
      </c>
      <c r="M145" t="s">
        <v>200</v>
      </c>
      <c r="N145">
        <f>SalesTable[[#This Row],[الكمية]]*SalesTable[[#This Row],[سعر الوحدة]]</f>
        <v>19800</v>
      </c>
      <c r="O145">
        <f>SalesTable[[#This Row],[الكمية]]*SalesTable[[#This Row],[سعر الوحدة]]*(1-SalesTable[[#This Row],[الخصم]])</f>
        <v>16830</v>
      </c>
    </row>
    <row r="146" spans="1:15" x14ac:dyDescent="0.3">
      <c r="A146">
        <v>10145</v>
      </c>
      <c r="B146" t="s">
        <v>36</v>
      </c>
      <c r="C146" s="3">
        <v>46316</v>
      </c>
      <c r="D146" t="s">
        <v>22</v>
      </c>
      <c r="E146" t="s">
        <v>23</v>
      </c>
      <c r="F146" t="s">
        <v>59</v>
      </c>
      <c r="G146" t="s">
        <v>60</v>
      </c>
      <c r="H146">
        <v>6</v>
      </c>
      <c r="I146">
        <v>25000</v>
      </c>
      <c r="J146">
        <v>0.1</v>
      </c>
      <c r="K146" t="s">
        <v>33</v>
      </c>
      <c r="L146" t="s">
        <v>47</v>
      </c>
      <c r="M146" t="s">
        <v>201</v>
      </c>
      <c r="N146">
        <f>SalesTable[[#This Row],[الكمية]]*SalesTable[[#This Row],[سعر الوحدة]]</f>
        <v>150000</v>
      </c>
      <c r="O146">
        <f>SalesTable[[#This Row],[الكمية]]*SalesTable[[#This Row],[سعر الوحدة]]*(1-SalesTable[[#This Row],[الخصم]])</f>
        <v>135000</v>
      </c>
    </row>
    <row r="147" spans="1:15" x14ac:dyDescent="0.3">
      <c r="A147">
        <v>10146</v>
      </c>
      <c r="B147" t="s">
        <v>94</v>
      </c>
      <c r="C147" s="3">
        <v>46258</v>
      </c>
      <c r="D147" t="s">
        <v>104</v>
      </c>
      <c r="E147" t="s">
        <v>23</v>
      </c>
      <c r="F147" t="s">
        <v>84</v>
      </c>
      <c r="G147" t="s">
        <v>120</v>
      </c>
      <c r="H147">
        <v>6</v>
      </c>
      <c r="I147">
        <v>28000</v>
      </c>
      <c r="J147">
        <v>0.03</v>
      </c>
      <c r="K147" t="s">
        <v>38</v>
      </c>
      <c r="L147" t="s">
        <v>19</v>
      </c>
      <c r="M147" t="s">
        <v>200</v>
      </c>
      <c r="N147">
        <f>SalesTable[[#This Row],[الكمية]]*SalesTable[[#This Row],[سعر الوحدة]]</f>
        <v>168000</v>
      </c>
      <c r="O147">
        <f>SalesTable[[#This Row],[الكمية]]*SalesTable[[#This Row],[سعر الوحدة]]*(1-SalesTable[[#This Row],[الخصم]])</f>
        <v>162960</v>
      </c>
    </row>
    <row r="148" spans="1:15" x14ac:dyDescent="0.3">
      <c r="A148">
        <v>10147</v>
      </c>
      <c r="B148" t="s">
        <v>36</v>
      </c>
      <c r="C148" s="3">
        <v>46291</v>
      </c>
      <c r="D148" t="s">
        <v>68</v>
      </c>
      <c r="E148" t="s">
        <v>46</v>
      </c>
      <c r="F148" t="s">
        <v>16</v>
      </c>
      <c r="G148" t="s">
        <v>96</v>
      </c>
      <c r="H148">
        <v>7</v>
      </c>
      <c r="I148">
        <v>1400</v>
      </c>
      <c r="J148">
        <v>0.1</v>
      </c>
      <c r="K148" t="s">
        <v>18</v>
      </c>
      <c r="L148" t="s">
        <v>47</v>
      </c>
      <c r="M148" t="s">
        <v>202</v>
      </c>
      <c r="N148">
        <f>SalesTable[[#This Row],[الكمية]]*SalesTable[[#This Row],[سعر الوحدة]]</f>
        <v>9800</v>
      </c>
      <c r="O148">
        <f>SalesTable[[#This Row],[الكمية]]*SalesTable[[#This Row],[سعر الوحدة]]*(1-SalesTable[[#This Row],[الخصم]])</f>
        <v>8820</v>
      </c>
    </row>
    <row r="149" spans="1:15" x14ac:dyDescent="0.3">
      <c r="A149">
        <v>10148</v>
      </c>
      <c r="B149" t="s">
        <v>44</v>
      </c>
      <c r="C149" s="3">
        <v>46284</v>
      </c>
      <c r="D149" t="s">
        <v>81</v>
      </c>
      <c r="E149" t="s">
        <v>41</v>
      </c>
      <c r="F149" t="s">
        <v>49</v>
      </c>
      <c r="G149" t="s">
        <v>50</v>
      </c>
      <c r="H149">
        <v>6</v>
      </c>
      <c r="I149">
        <v>2200</v>
      </c>
      <c r="J149">
        <v>0.03</v>
      </c>
      <c r="K149" t="s">
        <v>18</v>
      </c>
      <c r="L149" t="s">
        <v>26</v>
      </c>
      <c r="M149" t="s">
        <v>203</v>
      </c>
      <c r="N149">
        <f>SalesTable[[#This Row],[الكمية]]*SalesTable[[#This Row],[سعر الوحدة]]</f>
        <v>13200</v>
      </c>
      <c r="O149">
        <f>SalesTable[[#This Row],[الكمية]]*SalesTable[[#This Row],[سعر الوحدة]]*(1-SalesTable[[#This Row],[الخصم]])</f>
        <v>12804</v>
      </c>
    </row>
    <row r="150" spans="1:15" x14ac:dyDescent="0.3">
      <c r="A150">
        <v>10149</v>
      </c>
      <c r="B150" t="s">
        <v>52</v>
      </c>
      <c r="C150" s="3">
        <v>46124</v>
      </c>
      <c r="D150" t="s">
        <v>70</v>
      </c>
      <c r="E150" t="s">
        <v>46</v>
      </c>
      <c r="F150" t="s">
        <v>64</v>
      </c>
      <c r="G150" t="s">
        <v>184</v>
      </c>
      <c r="H150">
        <v>2</v>
      </c>
      <c r="I150">
        <v>1800</v>
      </c>
      <c r="J150">
        <v>0.03</v>
      </c>
      <c r="K150" t="s">
        <v>55</v>
      </c>
      <c r="L150" t="s">
        <v>26</v>
      </c>
      <c r="M150" t="s">
        <v>204</v>
      </c>
      <c r="N150">
        <f>SalesTable[[#This Row],[الكمية]]*SalesTable[[#This Row],[سعر الوحدة]]</f>
        <v>3600</v>
      </c>
      <c r="O150">
        <f>SalesTable[[#This Row],[الكمية]]*SalesTable[[#This Row],[سعر الوحدة]]*(1-SalesTable[[#This Row],[الخصم]])</f>
        <v>3492</v>
      </c>
    </row>
    <row r="151" spans="1:15" x14ac:dyDescent="0.3">
      <c r="A151">
        <v>10150</v>
      </c>
      <c r="B151" t="s">
        <v>62</v>
      </c>
      <c r="C151" s="3">
        <v>46371</v>
      </c>
      <c r="D151" t="s">
        <v>37</v>
      </c>
      <c r="E151" t="s">
        <v>23</v>
      </c>
      <c r="F151" t="s">
        <v>59</v>
      </c>
      <c r="G151" t="s">
        <v>105</v>
      </c>
      <c r="H151">
        <v>10</v>
      </c>
      <c r="I151">
        <v>32000</v>
      </c>
      <c r="J151">
        <v>0.1</v>
      </c>
      <c r="K151" t="s">
        <v>38</v>
      </c>
      <c r="L151" t="s">
        <v>34</v>
      </c>
      <c r="M151" t="s">
        <v>205</v>
      </c>
      <c r="N151">
        <f>SalesTable[[#This Row],[الكمية]]*SalesTable[[#This Row],[سعر الوحدة]]</f>
        <v>320000</v>
      </c>
      <c r="O151">
        <f>SalesTable[[#This Row],[الكمية]]*SalesTable[[#This Row],[سعر الوحدة]]*(1-SalesTable[[#This Row],[الخصم]])</f>
        <v>288000</v>
      </c>
    </row>
    <row r="152" spans="1:15" x14ac:dyDescent="0.3">
      <c r="A152">
        <v>10151</v>
      </c>
      <c r="B152" t="s">
        <v>52</v>
      </c>
      <c r="C152" s="3">
        <v>46163</v>
      </c>
      <c r="D152" t="s">
        <v>48</v>
      </c>
      <c r="E152" t="s">
        <v>30</v>
      </c>
      <c r="F152" t="s">
        <v>16</v>
      </c>
      <c r="G152" t="s">
        <v>189</v>
      </c>
      <c r="H152">
        <v>8</v>
      </c>
      <c r="I152">
        <v>9000</v>
      </c>
      <c r="J152">
        <v>0.15</v>
      </c>
      <c r="K152" t="s">
        <v>18</v>
      </c>
      <c r="L152" t="s">
        <v>34</v>
      </c>
      <c r="M152" t="s">
        <v>206</v>
      </c>
      <c r="N152">
        <f>SalesTable[[#This Row],[الكمية]]*SalesTable[[#This Row],[سعر الوحدة]]</f>
        <v>72000</v>
      </c>
      <c r="O152">
        <f>SalesTable[[#This Row],[الكمية]]*SalesTable[[#This Row],[سعر الوحدة]]*(1-SalesTable[[#This Row],[الخصم]])</f>
        <v>61200</v>
      </c>
    </row>
    <row r="153" spans="1:15" x14ac:dyDescent="0.3">
      <c r="A153">
        <v>10152</v>
      </c>
      <c r="B153" t="s">
        <v>28</v>
      </c>
      <c r="C153" s="3">
        <v>46211</v>
      </c>
      <c r="D153" t="s">
        <v>104</v>
      </c>
      <c r="E153" t="s">
        <v>23</v>
      </c>
      <c r="F153" t="s">
        <v>87</v>
      </c>
      <c r="G153" t="s">
        <v>88</v>
      </c>
      <c r="H153">
        <v>8</v>
      </c>
      <c r="I153">
        <v>28000</v>
      </c>
      <c r="J153">
        <v>0</v>
      </c>
      <c r="K153" t="s">
        <v>38</v>
      </c>
      <c r="L153" t="s">
        <v>19</v>
      </c>
      <c r="M153" t="s">
        <v>207</v>
      </c>
      <c r="N153">
        <f>SalesTable[[#This Row],[الكمية]]*SalesTable[[#This Row],[سعر الوحدة]]</f>
        <v>224000</v>
      </c>
      <c r="O153">
        <f>SalesTable[[#This Row],[الكمية]]*SalesTable[[#This Row],[سعر الوحدة]]*(1-SalesTable[[#This Row],[الخصم]])</f>
        <v>224000</v>
      </c>
    </row>
    <row r="154" spans="1:15" x14ac:dyDescent="0.3">
      <c r="A154">
        <v>10153</v>
      </c>
      <c r="B154" t="s">
        <v>28</v>
      </c>
      <c r="C154" s="3">
        <v>46253</v>
      </c>
      <c r="D154" t="s">
        <v>95</v>
      </c>
      <c r="E154" t="s">
        <v>15</v>
      </c>
      <c r="F154" t="s">
        <v>84</v>
      </c>
      <c r="G154" t="s">
        <v>85</v>
      </c>
      <c r="H154">
        <v>10</v>
      </c>
      <c r="I154">
        <v>5200</v>
      </c>
      <c r="J154">
        <v>0.1</v>
      </c>
      <c r="K154" t="s">
        <v>55</v>
      </c>
      <c r="L154" t="s">
        <v>34</v>
      </c>
      <c r="M154" t="s">
        <v>208</v>
      </c>
      <c r="N154">
        <f>SalesTable[[#This Row],[الكمية]]*SalesTable[[#This Row],[سعر الوحدة]]</f>
        <v>52000</v>
      </c>
      <c r="O154">
        <f>SalesTable[[#This Row],[الكمية]]*SalesTable[[#This Row],[سعر الوحدة]]*(1-SalesTable[[#This Row],[الخصم]])</f>
        <v>46800</v>
      </c>
    </row>
    <row r="155" spans="1:15" x14ac:dyDescent="0.3">
      <c r="A155">
        <v>10154</v>
      </c>
      <c r="B155" t="s">
        <v>67</v>
      </c>
      <c r="C155" s="3">
        <v>46066</v>
      </c>
      <c r="D155" t="s">
        <v>53</v>
      </c>
      <c r="E155" t="s">
        <v>15</v>
      </c>
      <c r="F155" t="s">
        <v>64</v>
      </c>
      <c r="G155" t="s">
        <v>71</v>
      </c>
      <c r="H155">
        <v>8</v>
      </c>
      <c r="I155">
        <v>3200</v>
      </c>
      <c r="J155">
        <v>0</v>
      </c>
      <c r="K155" t="s">
        <v>55</v>
      </c>
      <c r="L155" t="s">
        <v>19</v>
      </c>
      <c r="M155" t="s">
        <v>78</v>
      </c>
      <c r="N155">
        <f>SalesTable[[#This Row],[الكمية]]*SalesTable[[#This Row],[سعر الوحدة]]</f>
        <v>25600</v>
      </c>
      <c r="O155">
        <f>SalesTable[[#This Row],[الكمية]]*SalesTable[[#This Row],[سعر الوحدة]]*(1-SalesTable[[#This Row],[الخصم]])</f>
        <v>25600</v>
      </c>
    </row>
    <row r="156" spans="1:15" x14ac:dyDescent="0.3">
      <c r="A156">
        <v>10155</v>
      </c>
      <c r="B156" t="s">
        <v>94</v>
      </c>
      <c r="C156" s="3">
        <v>46104</v>
      </c>
      <c r="D156" t="s">
        <v>81</v>
      </c>
      <c r="E156" t="s">
        <v>41</v>
      </c>
      <c r="F156" t="s">
        <v>59</v>
      </c>
      <c r="G156" t="s">
        <v>105</v>
      </c>
      <c r="H156">
        <v>9</v>
      </c>
      <c r="I156">
        <v>2200</v>
      </c>
      <c r="J156">
        <v>0.1</v>
      </c>
      <c r="K156" t="s">
        <v>38</v>
      </c>
      <c r="L156" t="s">
        <v>34</v>
      </c>
      <c r="M156" t="s">
        <v>209</v>
      </c>
      <c r="N156">
        <f>SalesTable[[#This Row],[الكمية]]*SalesTable[[#This Row],[سعر الوحدة]]</f>
        <v>19800</v>
      </c>
      <c r="O156">
        <f>SalesTable[[#This Row],[الكمية]]*SalesTable[[#This Row],[سعر الوحدة]]*(1-SalesTable[[#This Row],[الخصم]])</f>
        <v>17820</v>
      </c>
    </row>
    <row r="157" spans="1:15" x14ac:dyDescent="0.3">
      <c r="A157">
        <v>10156</v>
      </c>
      <c r="B157" t="s">
        <v>67</v>
      </c>
      <c r="C157" s="3">
        <v>46056</v>
      </c>
      <c r="D157" t="s">
        <v>29</v>
      </c>
      <c r="E157" t="s">
        <v>30</v>
      </c>
      <c r="F157" t="s">
        <v>84</v>
      </c>
      <c r="G157" t="s">
        <v>85</v>
      </c>
      <c r="H157">
        <v>10</v>
      </c>
      <c r="I157">
        <v>7500</v>
      </c>
      <c r="J157">
        <v>0</v>
      </c>
      <c r="K157" t="s">
        <v>38</v>
      </c>
      <c r="L157" t="s">
        <v>19</v>
      </c>
      <c r="M157" t="s">
        <v>210</v>
      </c>
      <c r="N157">
        <f>SalesTable[[#This Row],[الكمية]]*SalesTable[[#This Row],[سعر الوحدة]]</f>
        <v>75000</v>
      </c>
      <c r="O157">
        <f>SalesTable[[#This Row],[الكمية]]*SalesTable[[#This Row],[سعر الوحدة]]*(1-SalesTable[[#This Row],[الخصم]])</f>
        <v>75000</v>
      </c>
    </row>
    <row r="158" spans="1:15" x14ac:dyDescent="0.3">
      <c r="A158">
        <v>10157</v>
      </c>
      <c r="B158" t="s">
        <v>94</v>
      </c>
      <c r="C158" s="3">
        <v>46099</v>
      </c>
      <c r="D158" t="s">
        <v>14</v>
      </c>
      <c r="E158" t="s">
        <v>15</v>
      </c>
      <c r="F158" t="s">
        <v>84</v>
      </c>
      <c r="G158" t="s">
        <v>85</v>
      </c>
      <c r="H158">
        <v>5</v>
      </c>
      <c r="I158">
        <v>650</v>
      </c>
      <c r="J158">
        <v>0.15</v>
      </c>
      <c r="K158" t="s">
        <v>38</v>
      </c>
      <c r="L158" t="s">
        <v>19</v>
      </c>
      <c r="M158" t="s">
        <v>61</v>
      </c>
      <c r="N158">
        <f>SalesTable[[#This Row],[الكمية]]*SalesTable[[#This Row],[سعر الوحدة]]</f>
        <v>3250</v>
      </c>
      <c r="O158">
        <f>SalesTable[[#This Row],[الكمية]]*SalesTable[[#This Row],[سعر الوحدة]]*(1-SalesTable[[#This Row],[الخصم]])</f>
        <v>2762.5</v>
      </c>
    </row>
    <row r="159" spans="1:15" x14ac:dyDescent="0.3">
      <c r="A159">
        <v>10158</v>
      </c>
      <c r="B159" t="s">
        <v>36</v>
      </c>
      <c r="C159" s="3">
        <v>46089</v>
      </c>
      <c r="D159" t="s">
        <v>14</v>
      </c>
      <c r="E159" t="s">
        <v>15</v>
      </c>
      <c r="F159" t="s">
        <v>64</v>
      </c>
      <c r="G159" t="s">
        <v>107</v>
      </c>
      <c r="H159">
        <v>5</v>
      </c>
      <c r="I159">
        <v>650</v>
      </c>
      <c r="J159">
        <v>0.15</v>
      </c>
      <c r="K159" t="s">
        <v>18</v>
      </c>
      <c r="L159" t="s">
        <v>34</v>
      </c>
      <c r="M159" t="s">
        <v>111</v>
      </c>
      <c r="N159">
        <f>SalesTable[[#This Row],[الكمية]]*SalesTable[[#This Row],[سعر الوحدة]]</f>
        <v>3250</v>
      </c>
      <c r="O159">
        <f>SalesTable[[#This Row],[الكمية]]*SalesTable[[#This Row],[سعر الوحدة]]*(1-SalesTable[[#This Row],[الخصم]])</f>
        <v>2762.5</v>
      </c>
    </row>
    <row r="160" spans="1:15" x14ac:dyDescent="0.3">
      <c r="A160">
        <v>10159</v>
      </c>
      <c r="B160" t="s">
        <v>36</v>
      </c>
      <c r="C160" s="3">
        <v>46283</v>
      </c>
      <c r="D160" t="s">
        <v>29</v>
      </c>
      <c r="E160" t="s">
        <v>30</v>
      </c>
      <c r="F160" t="s">
        <v>49</v>
      </c>
      <c r="G160" t="s">
        <v>50</v>
      </c>
      <c r="H160">
        <v>9</v>
      </c>
      <c r="I160">
        <v>7500</v>
      </c>
      <c r="J160">
        <v>0</v>
      </c>
      <c r="K160" t="s">
        <v>38</v>
      </c>
      <c r="L160" t="s">
        <v>19</v>
      </c>
      <c r="M160" t="s">
        <v>188</v>
      </c>
      <c r="N160">
        <f>SalesTable[[#This Row],[الكمية]]*SalesTable[[#This Row],[سعر الوحدة]]</f>
        <v>67500</v>
      </c>
      <c r="O160">
        <f>SalesTable[[#This Row],[الكمية]]*SalesTable[[#This Row],[سعر الوحدة]]*(1-SalesTable[[#This Row],[الخصم]])</f>
        <v>67500</v>
      </c>
    </row>
    <row r="161" spans="1:15" x14ac:dyDescent="0.3">
      <c r="A161">
        <v>10160</v>
      </c>
      <c r="B161" t="s">
        <v>13</v>
      </c>
      <c r="C161" s="3">
        <v>46138</v>
      </c>
      <c r="D161" t="s">
        <v>110</v>
      </c>
      <c r="E161" t="s">
        <v>46</v>
      </c>
      <c r="F161" t="s">
        <v>64</v>
      </c>
      <c r="G161" t="s">
        <v>184</v>
      </c>
      <c r="H161">
        <v>6</v>
      </c>
      <c r="I161">
        <v>450</v>
      </c>
      <c r="J161">
        <v>7.0000000000000007E-2</v>
      </c>
      <c r="K161" t="s">
        <v>55</v>
      </c>
      <c r="L161" t="s">
        <v>26</v>
      </c>
      <c r="M161" t="s">
        <v>211</v>
      </c>
      <c r="N161">
        <f>SalesTable[[#This Row],[الكمية]]*SalesTable[[#This Row],[سعر الوحدة]]</f>
        <v>2700</v>
      </c>
      <c r="O161">
        <f>SalesTable[[#This Row],[الكمية]]*SalesTable[[#This Row],[سعر الوحدة]]*(1-SalesTable[[#This Row],[الخصم]])</f>
        <v>2511</v>
      </c>
    </row>
    <row r="162" spans="1:15" x14ac:dyDescent="0.3">
      <c r="A162">
        <v>10161</v>
      </c>
      <c r="B162" t="s">
        <v>112</v>
      </c>
      <c r="C162" s="3">
        <v>46328</v>
      </c>
      <c r="D162" t="s">
        <v>110</v>
      </c>
      <c r="E162" t="s">
        <v>46</v>
      </c>
      <c r="F162" t="s">
        <v>16</v>
      </c>
      <c r="G162" t="s">
        <v>17</v>
      </c>
      <c r="H162">
        <v>6</v>
      </c>
      <c r="I162">
        <v>450</v>
      </c>
      <c r="J162">
        <v>0.1</v>
      </c>
      <c r="K162" t="s">
        <v>33</v>
      </c>
      <c r="L162" t="s">
        <v>26</v>
      </c>
      <c r="M162" t="s">
        <v>138</v>
      </c>
      <c r="N162">
        <f>SalesTable[[#This Row],[الكمية]]*SalesTable[[#This Row],[سعر الوحدة]]</f>
        <v>2700</v>
      </c>
      <c r="O162">
        <f>SalesTable[[#This Row],[الكمية]]*SalesTable[[#This Row],[سعر الوحدة]]*(1-SalesTable[[#This Row],[الخصم]])</f>
        <v>2430</v>
      </c>
    </row>
    <row r="163" spans="1:15" x14ac:dyDescent="0.3">
      <c r="A163">
        <v>10162</v>
      </c>
      <c r="B163" t="s">
        <v>67</v>
      </c>
      <c r="C163" s="3">
        <v>46369</v>
      </c>
      <c r="D163" t="s">
        <v>37</v>
      </c>
      <c r="E163" t="s">
        <v>23</v>
      </c>
      <c r="F163" t="s">
        <v>64</v>
      </c>
      <c r="G163" t="s">
        <v>65</v>
      </c>
      <c r="H163">
        <v>1</v>
      </c>
      <c r="I163">
        <v>32000</v>
      </c>
      <c r="J163">
        <v>7.0000000000000007E-2</v>
      </c>
      <c r="K163" t="s">
        <v>55</v>
      </c>
      <c r="L163" t="s">
        <v>47</v>
      </c>
      <c r="M163" t="s">
        <v>212</v>
      </c>
      <c r="N163">
        <f>SalesTable[[#This Row],[الكمية]]*SalesTable[[#This Row],[سعر الوحدة]]</f>
        <v>32000</v>
      </c>
      <c r="O163">
        <f>SalesTable[[#This Row],[الكمية]]*SalesTable[[#This Row],[سعر الوحدة]]*(1-SalesTable[[#This Row],[الخصم]])</f>
        <v>29759.999999999996</v>
      </c>
    </row>
    <row r="164" spans="1:15" x14ac:dyDescent="0.3">
      <c r="A164">
        <v>10163</v>
      </c>
      <c r="B164" t="s">
        <v>52</v>
      </c>
      <c r="C164" s="3">
        <v>46263</v>
      </c>
      <c r="D164" t="s">
        <v>40</v>
      </c>
      <c r="E164" t="s">
        <v>41</v>
      </c>
      <c r="F164" t="s">
        <v>59</v>
      </c>
      <c r="G164" t="s">
        <v>60</v>
      </c>
      <c r="H164">
        <v>9</v>
      </c>
      <c r="I164">
        <v>150</v>
      </c>
      <c r="J164">
        <v>0.03</v>
      </c>
      <c r="K164" t="s">
        <v>55</v>
      </c>
      <c r="L164" t="s">
        <v>34</v>
      </c>
      <c r="M164" t="s">
        <v>213</v>
      </c>
      <c r="N164">
        <f>SalesTable[[#This Row],[الكمية]]*SalesTable[[#This Row],[سعر الوحدة]]</f>
        <v>1350</v>
      </c>
      <c r="O164">
        <f>SalesTable[[#This Row],[الكمية]]*SalesTable[[#This Row],[سعر الوحدة]]*(1-SalesTable[[#This Row],[الخصم]])</f>
        <v>1309.5</v>
      </c>
    </row>
    <row r="165" spans="1:15" x14ac:dyDescent="0.3">
      <c r="A165">
        <v>10164</v>
      </c>
      <c r="B165" t="s">
        <v>21</v>
      </c>
      <c r="C165" s="3">
        <v>46237</v>
      </c>
      <c r="D165" t="s">
        <v>48</v>
      </c>
      <c r="E165" t="s">
        <v>30</v>
      </c>
      <c r="F165" t="s">
        <v>59</v>
      </c>
      <c r="G165" t="s">
        <v>105</v>
      </c>
      <c r="H165">
        <v>7</v>
      </c>
      <c r="I165">
        <v>9000</v>
      </c>
      <c r="J165">
        <v>0.1</v>
      </c>
      <c r="K165" t="s">
        <v>55</v>
      </c>
      <c r="L165" t="s">
        <v>26</v>
      </c>
      <c r="M165" t="s">
        <v>131</v>
      </c>
      <c r="N165">
        <f>SalesTable[[#This Row],[الكمية]]*SalesTable[[#This Row],[سعر الوحدة]]</f>
        <v>63000</v>
      </c>
      <c r="O165">
        <f>SalesTable[[#This Row],[الكمية]]*SalesTable[[#This Row],[سعر الوحدة]]*(1-SalesTable[[#This Row],[الخصم]])</f>
        <v>56700</v>
      </c>
    </row>
    <row r="166" spans="1:15" x14ac:dyDescent="0.3">
      <c r="A166">
        <v>10165</v>
      </c>
      <c r="B166" t="s">
        <v>21</v>
      </c>
      <c r="C166" s="3">
        <v>46075</v>
      </c>
      <c r="D166" t="s">
        <v>68</v>
      </c>
      <c r="E166" t="s">
        <v>46</v>
      </c>
      <c r="F166" t="s">
        <v>87</v>
      </c>
      <c r="G166" t="s">
        <v>101</v>
      </c>
      <c r="H166">
        <v>8</v>
      </c>
      <c r="I166">
        <v>1400</v>
      </c>
      <c r="J166">
        <v>0.05</v>
      </c>
      <c r="K166" t="s">
        <v>18</v>
      </c>
      <c r="L166" t="s">
        <v>34</v>
      </c>
      <c r="M166" t="s">
        <v>214</v>
      </c>
      <c r="N166">
        <f>SalesTable[[#This Row],[الكمية]]*SalesTable[[#This Row],[سعر الوحدة]]</f>
        <v>11200</v>
      </c>
      <c r="O166">
        <f>SalesTable[[#This Row],[الكمية]]*SalesTable[[#This Row],[سعر الوحدة]]*(1-SalesTable[[#This Row],[الخصم]])</f>
        <v>10640</v>
      </c>
    </row>
    <row r="167" spans="1:15" x14ac:dyDescent="0.3">
      <c r="A167">
        <v>10166</v>
      </c>
      <c r="B167" t="s">
        <v>112</v>
      </c>
      <c r="C167" s="3">
        <v>46246</v>
      </c>
      <c r="D167" t="s">
        <v>40</v>
      </c>
      <c r="E167" t="s">
        <v>41</v>
      </c>
      <c r="F167" t="s">
        <v>64</v>
      </c>
      <c r="G167" t="s">
        <v>107</v>
      </c>
      <c r="H167">
        <v>8</v>
      </c>
      <c r="I167">
        <v>150</v>
      </c>
      <c r="J167">
        <v>0.1</v>
      </c>
      <c r="K167" t="s">
        <v>18</v>
      </c>
      <c r="L167" t="s">
        <v>26</v>
      </c>
      <c r="M167" t="s">
        <v>215</v>
      </c>
      <c r="N167">
        <f>SalesTable[[#This Row],[الكمية]]*SalesTable[[#This Row],[سعر الوحدة]]</f>
        <v>1200</v>
      </c>
      <c r="O167">
        <f>SalesTable[[#This Row],[الكمية]]*SalesTable[[#This Row],[سعر الوحدة]]*(1-SalesTable[[#This Row],[الخصم]])</f>
        <v>1080</v>
      </c>
    </row>
    <row r="168" spans="1:15" x14ac:dyDescent="0.3">
      <c r="A168">
        <v>10167</v>
      </c>
      <c r="B168" t="s">
        <v>36</v>
      </c>
      <c r="C168" s="3">
        <v>46280</v>
      </c>
      <c r="D168" t="s">
        <v>90</v>
      </c>
      <c r="E168" t="s">
        <v>91</v>
      </c>
      <c r="F168" t="s">
        <v>49</v>
      </c>
      <c r="G168" t="s">
        <v>50</v>
      </c>
      <c r="H168">
        <v>7</v>
      </c>
      <c r="I168">
        <v>6500</v>
      </c>
      <c r="J168">
        <v>0</v>
      </c>
      <c r="K168" t="s">
        <v>38</v>
      </c>
      <c r="L168" t="s">
        <v>26</v>
      </c>
      <c r="M168" t="s">
        <v>216</v>
      </c>
      <c r="N168">
        <f>SalesTable[[#This Row],[الكمية]]*SalesTable[[#This Row],[سعر الوحدة]]</f>
        <v>45500</v>
      </c>
      <c r="O168">
        <f>SalesTable[[#This Row],[الكمية]]*SalesTable[[#This Row],[سعر الوحدة]]*(1-SalesTable[[#This Row],[الخصم]])</f>
        <v>45500</v>
      </c>
    </row>
    <row r="169" spans="1:15" x14ac:dyDescent="0.3">
      <c r="A169">
        <v>10168</v>
      </c>
      <c r="B169" t="s">
        <v>44</v>
      </c>
      <c r="C169" s="3">
        <v>46355</v>
      </c>
      <c r="D169" t="s">
        <v>104</v>
      </c>
      <c r="E169" t="s">
        <v>23</v>
      </c>
      <c r="F169" t="s">
        <v>49</v>
      </c>
      <c r="G169" t="s">
        <v>50</v>
      </c>
      <c r="H169">
        <v>1</v>
      </c>
      <c r="I169">
        <v>28000</v>
      </c>
      <c r="J169">
        <v>0.05</v>
      </c>
      <c r="K169" t="s">
        <v>38</v>
      </c>
      <c r="L169" t="s">
        <v>26</v>
      </c>
      <c r="M169" t="s">
        <v>131</v>
      </c>
      <c r="N169">
        <f>SalesTable[[#This Row],[الكمية]]*SalesTable[[#This Row],[سعر الوحدة]]</f>
        <v>28000</v>
      </c>
      <c r="O169">
        <f>SalesTable[[#This Row],[الكمية]]*SalesTable[[#This Row],[سعر الوحدة]]*(1-SalesTable[[#This Row],[الخصم]])</f>
        <v>26600</v>
      </c>
    </row>
    <row r="170" spans="1:15" x14ac:dyDescent="0.3">
      <c r="A170">
        <v>10169</v>
      </c>
      <c r="B170" t="s">
        <v>62</v>
      </c>
      <c r="C170" s="3">
        <v>46252</v>
      </c>
      <c r="D170" t="s">
        <v>22</v>
      </c>
      <c r="E170" t="s">
        <v>23</v>
      </c>
      <c r="F170" t="s">
        <v>87</v>
      </c>
      <c r="G170" t="s">
        <v>88</v>
      </c>
      <c r="H170">
        <v>3</v>
      </c>
      <c r="I170">
        <v>25000</v>
      </c>
      <c r="J170">
        <v>0.15</v>
      </c>
      <c r="K170" t="s">
        <v>18</v>
      </c>
      <c r="L170" t="s">
        <v>19</v>
      </c>
      <c r="M170" t="s">
        <v>217</v>
      </c>
      <c r="N170">
        <f>SalesTable[[#This Row],[الكمية]]*SalesTable[[#This Row],[سعر الوحدة]]</f>
        <v>75000</v>
      </c>
      <c r="O170">
        <f>SalesTable[[#This Row],[الكمية]]*SalesTable[[#This Row],[سعر الوحدة]]*(1-SalesTable[[#This Row],[الخصم]])</f>
        <v>63750</v>
      </c>
    </row>
    <row r="171" spans="1:15" x14ac:dyDescent="0.3">
      <c r="A171">
        <v>10170</v>
      </c>
      <c r="B171" t="s">
        <v>94</v>
      </c>
      <c r="C171" s="3">
        <v>46293</v>
      </c>
      <c r="D171" t="s">
        <v>110</v>
      </c>
      <c r="E171" t="s">
        <v>46</v>
      </c>
      <c r="F171" t="s">
        <v>31</v>
      </c>
      <c r="G171" t="s">
        <v>54</v>
      </c>
      <c r="H171">
        <v>9</v>
      </c>
      <c r="I171">
        <v>450</v>
      </c>
      <c r="J171">
        <v>0.15</v>
      </c>
      <c r="K171" t="s">
        <v>33</v>
      </c>
      <c r="L171" t="s">
        <v>19</v>
      </c>
      <c r="M171" t="s">
        <v>218</v>
      </c>
      <c r="N171">
        <f>SalesTable[[#This Row],[الكمية]]*SalesTable[[#This Row],[سعر الوحدة]]</f>
        <v>4050</v>
      </c>
      <c r="O171">
        <f>SalesTable[[#This Row],[الكمية]]*SalesTable[[#This Row],[سعر الوحدة]]*(1-SalesTable[[#This Row],[الخصم]])</f>
        <v>3442.5</v>
      </c>
    </row>
    <row r="172" spans="1:15" x14ac:dyDescent="0.3">
      <c r="A172">
        <v>10171</v>
      </c>
      <c r="B172" t="s">
        <v>36</v>
      </c>
      <c r="C172" s="3">
        <v>46350</v>
      </c>
      <c r="D172" t="s">
        <v>45</v>
      </c>
      <c r="E172" t="s">
        <v>46</v>
      </c>
      <c r="F172" t="s">
        <v>87</v>
      </c>
      <c r="G172" t="s">
        <v>101</v>
      </c>
      <c r="H172">
        <v>1</v>
      </c>
      <c r="I172">
        <v>1200</v>
      </c>
      <c r="J172">
        <v>0.03</v>
      </c>
      <c r="K172" t="s">
        <v>33</v>
      </c>
      <c r="L172" t="s">
        <v>19</v>
      </c>
      <c r="M172" t="s">
        <v>186</v>
      </c>
      <c r="N172">
        <f>SalesTable[[#This Row],[الكمية]]*SalesTable[[#This Row],[سعر الوحدة]]</f>
        <v>1200</v>
      </c>
      <c r="O172">
        <f>SalesTable[[#This Row],[الكمية]]*SalesTable[[#This Row],[سعر الوحدة]]*(1-SalesTable[[#This Row],[الخصم]])</f>
        <v>1164</v>
      </c>
    </row>
    <row r="173" spans="1:15" x14ac:dyDescent="0.3">
      <c r="A173">
        <v>10172</v>
      </c>
      <c r="B173" t="s">
        <v>21</v>
      </c>
      <c r="C173" s="3">
        <v>46317</v>
      </c>
      <c r="D173" t="s">
        <v>68</v>
      </c>
      <c r="E173" t="s">
        <v>46</v>
      </c>
      <c r="F173" t="s">
        <v>59</v>
      </c>
      <c r="G173" t="s">
        <v>75</v>
      </c>
      <c r="H173">
        <v>9</v>
      </c>
      <c r="I173">
        <v>1400</v>
      </c>
      <c r="J173">
        <v>0</v>
      </c>
      <c r="K173" t="s">
        <v>55</v>
      </c>
      <c r="L173" t="s">
        <v>26</v>
      </c>
      <c r="M173" t="s">
        <v>219</v>
      </c>
      <c r="N173">
        <f>SalesTable[[#This Row],[الكمية]]*SalesTable[[#This Row],[سعر الوحدة]]</f>
        <v>12600</v>
      </c>
      <c r="O173">
        <f>SalesTable[[#This Row],[الكمية]]*SalesTable[[#This Row],[سعر الوحدة]]*(1-SalesTable[[#This Row],[الخصم]])</f>
        <v>12600</v>
      </c>
    </row>
    <row r="174" spans="1:15" x14ac:dyDescent="0.3">
      <c r="A174">
        <v>10173</v>
      </c>
      <c r="B174" t="s">
        <v>36</v>
      </c>
      <c r="C174" s="3">
        <v>46118</v>
      </c>
      <c r="D174" t="s">
        <v>29</v>
      </c>
      <c r="E174" t="s">
        <v>30</v>
      </c>
      <c r="F174" t="s">
        <v>24</v>
      </c>
      <c r="G174" t="s">
        <v>57</v>
      </c>
      <c r="H174">
        <v>4</v>
      </c>
      <c r="I174">
        <v>7500</v>
      </c>
      <c r="J174">
        <v>0.1</v>
      </c>
      <c r="K174" t="s">
        <v>18</v>
      </c>
      <c r="L174" t="s">
        <v>34</v>
      </c>
      <c r="M174" t="s">
        <v>220</v>
      </c>
      <c r="N174">
        <f>SalesTable[[#This Row],[الكمية]]*SalesTable[[#This Row],[سعر الوحدة]]</f>
        <v>30000</v>
      </c>
      <c r="O174">
        <f>SalesTable[[#This Row],[الكمية]]*SalesTable[[#This Row],[سعر الوحدة]]*(1-SalesTable[[#This Row],[الخصم]])</f>
        <v>27000</v>
      </c>
    </row>
    <row r="175" spans="1:15" x14ac:dyDescent="0.3">
      <c r="A175">
        <v>10174</v>
      </c>
      <c r="B175" t="s">
        <v>36</v>
      </c>
      <c r="C175" s="3">
        <v>46214</v>
      </c>
      <c r="D175" t="s">
        <v>53</v>
      </c>
      <c r="E175" t="s">
        <v>15</v>
      </c>
      <c r="F175" t="s">
        <v>24</v>
      </c>
      <c r="G175" t="s">
        <v>42</v>
      </c>
      <c r="H175">
        <v>8</v>
      </c>
      <c r="I175">
        <v>3200</v>
      </c>
      <c r="J175">
        <v>0</v>
      </c>
      <c r="K175" t="s">
        <v>38</v>
      </c>
      <c r="L175" t="s">
        <v>19</v>
      </c>
      <c r="M175" t="s">
        <v>221</v>
      </c>
      <c r="N175">
        <f>SalesTable[[#This Row],[الكمية]]*SalesTable[[#This Row],[سعر الوحدة]]</f>
        <v>25600</v>
      </c>
      <c r="O175">
        <f>SalesTable[[#This Row],[الكمية]]*SalesTable[[#This Row],[سعر الوحدة]]*(1-SalesTable[[#This Row],[الخصم]])</f>
        <v>25600</v>
      </c>
    </row>
    <row r="176" spans="1:15" x14ac:dyDescent="0.3">
      <c r="A176">
        <v>10175</v>
      </c>
      <c r="B176" t="s">
        <v>44</v>
      </c>
      <c r="C176" s="3">
        <v>46320</v>
      </c>
      <c r="D176" t="s">
        <v>40</v>
      </c>
      <c r="E176" t="s">
        <v>41</v>
      </c>
      <c r="F176" t="s">
        <v>16</v>
      </c>
      <c r="G176" t="s">
        <v>79</v>
      </c>
      <c r="H176">
        <v>4</v>
      </c>
      <c r="I176">
        <v>150</v>
      </c>
      <c r="J176">
        <v>0.15</v>
      </c>
      <c r="K176" t="s">
        <v>38</v>
      </c>
      <c r="L176" t="s">
        <v>26</v>
      </c>
      <c r="M176" t="s">
        <v>119</v>
      </c>
      <c r="N176">
        <f>SalesTable[[#This Row],[الكمية]]*SalesTable[[#This Row],[سعر الوحدة]]</f>
        <v>600</v>
      </c>
      <c r="O176">
        <f>SalesTable[[#This Row],[الكمية]]*SalesTable[[#This Row],[سعر الوحدة]]*(1-SalesTable[[#This Row],[الخصم]])</f>
        <v>510</v>
      </c>
    </row>
    <row r="177" spans="1:15" x14ac:dyDescent="0.3">
      <c r="A177">
        <v>10176</v>
      </c>
      <c r="B177" t="s">
        <v>62</v>
      </c>
      <c r="C177" s="3">
        <v>46379</v>
      </c>
      <c r="D177" t="s">
        <v>70</v>
      </c>
      <c r="E177" t="s">
        <v>46</v>
      </c>
      <c r="F177" t="s">
        <v>49</v>
      </c>
      <c r="G177" t="s">
        <v>122</v>
      </c>
      <c r="H177">
        <v>3</v>
      </c>
      <c r="I177">
        <v>1800</v>
      </c>
      <c r="J177">
        <v>0.15</v>
      </c>
      <c r="K177" t="s">
        <v>33</v>
      </c>
      <c r="L177" t="s">
        <v>26</v>
      </c>
      <c r="M177" t="s">
        <v>222</v>
      </c>
      <c r="N177">
        <f>SalesTable[[#This Row],[الكمية]]*SalesTable[[#This Row],[سعر الوحدة]]</f>
        <v>5400</v>
      </c>
      <c r="O177">
        <f>SalesTable[[#This Row],[الكمية]]*SalesTable[[#This Row],[سعر الوحدة]]*(1-SalesTable[[#This Row],[الخصم]])</f>
        <v>4590</v>
      </c>
    </row>
    <row r="178" spans="1:15" x14ac:dyDescent="0.3">
      <c r="A178">
        <v>10177</v>
      </c>
      <c r="B178" t="s">
        <v>28</v>
      </c>
      <c r="C178" s="3">
        <v>46125</v>
      </c>
      <c r="D178" t="s">
        <v>104</v>
      </c>
      <c r="E178" t="s">
        <v>23</v>
      </c>
      <c r="F178" t="s">
        <v>59</v>
      </c>
      <c r="G178" t="s">
        <v>60</v>
      </c>
      <c r="H178">
        <v>5</v>
      </c>
      <c r="I178">
        <v>28000</v>
      </c>
      <c r="J178">
        <v>0.03</v>
      </c>
      <c r="K178" t="s">
        <v>18</v>
      </c>
      <c r="L178" t="s">
        <v>34</v>
      </c>
      <c r="M178" t="s">
        <v>202</v>
      </c>
      <c r="N178">
        <f>SalesTable[[#This Row],[الكمية]]*SalesTable[[#This Row],[سعر الوحدة]]</f>
        <v>140000</v>
      </c>
      <c r="O178">
        <f>SalesTable[[#This Row],[الكمية]]*SalesTable[[#This Row],[سعر الوحدة]]*(1-SalesTable[[#This Row],[الخصم]])</f>
        <v>135800</v>
      </c>
    </row>
    <row r="179" spans="1:15" x14ac:dyDescent="0.3">
      <c r="A179">
        <v>10178</v>
      </c>
      <c r="B179" t="s">
        <v>28</v>
      </c>
      <c r="C179" s="3">
        <v>46354</v>
      </c>
      <c r="D179" t="s">
        <v>53</v>
      </c>
      <c r="E179" t="s">
        <v>15</v>
      </c>
      <c r="F179" t="s">
        <v>84</v>
      </c>
      <c r="G179" t="s">
        <v>113</v>
      </c>
      <c r="H179">
        <v>8</v>
      </c>
      <c r="I179">
        <v>3200</v>
      </c>
      <c r="J179">
        <v>0.05</v>
      </c>
      <c r="K179" t="s">
        <v>55</v>
      </c>
      <c r="L179" t="s">
        <v>34</v>
      </c>
      <c r="M179" t="s">
        <v>221</v>
      </c>
      <c r="N179">
        <f>SalesTable[[#This Row],[الكمية]]*SalesTable[[#This Row],[سعر الوحدة]]</f>
        <v>25600</v>
      </c>
      <c r="O179">
        <f>SalesTable[[#This Row],[الكمية]]*SalesTable[[#This Row],[سعر الوحدة]]*(1-SalesTable[[#This Row],[الخصم]])</f>
        <v>24320</v>
      </c>
    </row>
    <row r="180" spans="1:15" x14ac:dyDescent="0.3">
      <c r="A180">
        <v>10179</v>
      </c>
      <c r="B180" t="s">
        <v>67</v>
      </c>
      <c r="C180" s="3">
        <v>46246</v>
      </c>
      <c r="D180" t="s">
        <v>68</v>
      </c>
      <c r="E180" t="s">
        <v>46</v>
      </c>
      <c r="F180" t="s">
        <v>24</v>
      </c>
      <c r="G180" t="s">
        <v>57</v>
      </c>
      <c r="H180">
        <v>5</v>
      </c>
      <c r="I180">
        <v>1400</v>
      </c>
      <c r="J180">
        <v>0</v>
      </c>
      <c r="K180" t="s">
        <v>33</v>
      </c>
      <c r="L180" t="s">
        <v>47</v>
      </c>
      <c r="M180" t="s">
        <v>216</v>
      </c>
      <c r="N180">
        <f>SalesTable[[#This Row],[الكمية]]*SalesTable[[#This Row],[سعر الوحدة]]</f>
        <v>7000</v>
      </c>
      <c r="O180">
        <f>SalesTable[[#This Row],[الكمية]]*SalesTable[[#This Row],[سعر الوحدة]]*(1-SalesTable[[#This Row],[الخصم]])</f>
        <v>7000</v>
      </c>
    </row>
    <row r="181" spans="1:15" x14ac:dyDescent="0.3">
      <c r="A181">
        <v>10180</v>
      </c>
      <c r="B181" t="s">
        <v>21</v>
      </c>
      <c r="C181" s="3">
        <v>46159</v>
      </c>
      <c r="D181" t="s">
        <v>70</v>
      </c>
      <c r="E181" t="s">
        <v>46</v>
      </c>
      <c r="F181" t="s">
        <v>64</v>
      </c>
      <c r="G181" t="s">
        <v>65</v>
      </c>
      <c r="H181">
        <v>8</v>
      </c>
      <c r="I181">
        <v>1800</v>
      </c>
      <c r="J181">
        <v>0.05</v>
      </c>
      <c r="K181" t="s">
        <v>18</v>
      </c>
      <c r="L181" t="s">
        <v>47</v>
      </c>
      <c r="M181" t="s">
        <v>223</v>
      </c>
      <c r="N181">
        <f>SalesTable[[#This Row],[الكمية]]*SalesTable[[#This Row],[سعر الوحدة]]</f>
        <v>14400</v>
      </c>
      <c r="O181">
        <f>SalesTable[[#This Row],[الكمية]]*SalesTable[[#This Row],[سعر الوحدة]]*(1-SalesTable[[#This Row],[الخصم]])</f>
        <v>13680</v>
      </c>
    </row>
    <row r="182" spans="1:15" x14ac:dyDescent="0.3">
      <c r="A182">
        <v>10181</v>
      </c>
      <c r="B182" t="s">
        <v>44</v>
      </c>
      <c r="C182" s="3">
        <v>46190</v>
      </c>
      <c r="D182" t="s">
        <v>29</v>
      </c>
      <c r="E182" t="s">
        <v>30</v>
      </c>
      <c r="F182" t="s">
        <v>64</v>
      </c>
      <c r="G182" t="s">
        <v>107</v>
      </c>
      <c r="H182">
        <v>6</v>
      </c>
      <c r="I182">
        <v>7500</v>
      </c>
      <c r="J182">
        <v>0</v>
      </c>
      <c r="K182" t="s">
        <v>38</v>
      </c>
      <c r="L182" t="s">
        <v>34</v>
      </c>
      <c r="M182" t="s">
        <v>166</v>
      </c>
      <c r="N182">
        <f>SalesTable[[#This Row],[الكمية]]*SalesTable[[#This Row],[سعر الوحدة]]</f>
        <v>45000</v>
      </c>
      <c r="O182">
        <f>SalesTable[[#This Row],[الكمية]]*SalesTable[[#This Row],[سعر الوحدة]]*(1-SalesTable[[#This Row],[الخصم]])</f>
        <v>45000</v>
      </c>
    </row>
    <row r="183" spans="1:15" x14ac:dyDescent="0.3">
      <c r="A183">
        <v>10182</v>
      </c>
      <c r="B183" t="s">
        <v>62</v>
      </c>
      <c r="C183" s="3">
        <v>46044</v>
      </c>
      <c r="D183" t="s">
        <v>95</v>
      </c>
      <c r="E183" t="s">
        <v>15</v>
      </c>
      <c r="F183" t="s">
        <v>84</v>
      </c>
      <c r="G183" t="s">
        <v>120</v>
      </c>
      <c r="H183">
        <v>8</v>
      </c>
      <c r="I183">
        <v>5200</v>
      </c>
      <c r="J183">
        <v>0.05</v>
      </c>
      <c r="K183" t="s">
        <v>38</v>
      </c>
      <c r="L183" t="s">
        <v>47</v>
      </c>
      <c r="M183" t="s">
        <v>224</v>
      </c>
      <c r="N183">
        <f>SalesTable[[#This Row],[الكمية]]*SalesTable[[#This Row],[سعر الوحدة]]</f>
        <v>41600</v>
      </c>
      <c r="O183">
        <f>SalesTable[[#This Row],[الكمية]]*SalesTable[[#This Row],[سعر الوحدة]]*(1-SalesTable[[#This Row],[الخصم]])</f>
        <v>39520</v>
      </c>
    </row>
    <row r="184" spans="1:15" x14ac:dyDescent="0.3">
      <c r="A184">
        <v>10183</v>
      </c>
      <c r="B184" t="s">
        <v>21</v>
      </c>
      <c r="C184" s="3">
        <v>46370</v>
      </c>
      <c r="D184" t="s">
        <v>14</v>
      </c>
      <c r="E184" t="s">
        <v>15</v>
      </c>
      <c r="F184" t="s">
        <v>24</v>
      </c>
      <c r="G184" t="s">
        <v>25</v>
      </c>
      <c r="H184">
        <v>7</v>
      </c>
      <c r="I184">
        <v>650</v>
      </c>
      <c r="J184">
        <v>0.05</v>
      </c>
      <c r="K184" t="s">
        <v>55</v>
      </c>
      <c r="L184" t="s">
        <v>19</v>
      </c>
      <c r="M184" t="s">
        <v>225</v>
      </c>
      <c r="N184">
        <f>SalesTable[[#This Row],[الكمية]]*SalesTable[[#This Row],[سعر الوحدة]]</f>
        <v>4550</v>
      </c>
      <c r="O184">
        <f>SalesTable[[#This Row],[الكمية]]*SalesTable[[#This Row],[سعر الوحدة]]*(1-SalesTable[[#This Row],[الخصم]])</f>
        <v>4322.5</v>
      </c>
    </row>
    <row r="185" spans="1:15" x14ac:dyDescent="0.3">
      <c r="A185">
        <v>10184</v>
      </c>
      <c r="B185" t="s">
        <v>13</v>
      </c>
      <c r="C185" s="3">
        <v>46353</v>
      </c>
      <c r="D185" t="s">
        <v>68</v>
      </c>
      <c r="E185" t="s">
        <v>46</v>
      </c>
      <c r="F185" t="s">
        <v>59</v>
      </c>
      <c r="G185" t="s">
        <v>60</v>
      </c>
      <c r="H185">
        <v>3</v>
      </c>
      <c r="I185">
        <v>1400</v>
      </c>
      <c r="J185">
        <v>0</v>
      </c>
      <c r="K185" t="s">
        <v>38</v>
      </c>
      <c r="L185" t="s">
        <v>34</v>
      </c>
      <c r="M185" t="s">
        <v>175</v>
      </c>
      <c r="N185">
        <f>SalesTable[[#This Row],[الكمية]]*SalesTable[[#This Row],[سعر الوحدة]]</f>
        <v>4200</v>
      </c>
      <c r="O185">
        <f>SalesTable[[#This Row],[الكمية]]*SalesTable[[#This Row],[سعر الوحدة]]*(1-SalesTable[[#This Row],[الخصم]])</f>
        <v>4200</v>
      </c>
    </row>
    <row r="186" spans="1:15" x14ac:dyDescent="0.3">
      <c r="A186">
        <v>10185</v>
      </c>
      <c r="B186" t="s">
        <v>67</v>
      </c>
      <c r="C186" s="3">
        <v>46250</v>
      </c>
      <c r="D186" t="s">
        <v>95</v>
      </c>
      <c r="E186" t="s">
        <v>15</v>
      </c>
      <c r="F186" t="s">
        <v>24</v>
      </c>
      <c r="G186" t="s">
        <v>73</v>
      </c>
      <c r="H186">
        <v>8</v>
      </c>
      <c r="I186">
        <v>5200</v>
      </c>
      <c r="J186">
        <v>0.05</v>
      </c>
      <c r="K186" t="s">
        <v>18</v>
      </c>
      <c r="L186" t="s">
        <v>26</v>
      </c>
      <c r="M186" t="s">
        <v>191</v>
      </c>
      <c r="N186">
        <f>SalesTable[[#This Row],[الكمية]]*SalesTable[[#This Row],[سعر الوحدة]]</f>
        <v>41600</v>
      </c>
      <c r="O186">
        <f>SalesTable[[#This Row],[الكمية]]*SalesTable[[#This Row],[سعر الوحدة]]*(1-SalesTable[[#This Row],[الخصم]])</f>
        <v>39520</v>
      </c>
    </row>
    <row r="187" spans="1:15" x14ac:dyDescent="0.3">
      <c r="A187">
        <v>10186</v>
      </c>
      <c r="B187" t="s">
        <v>44</v>
      </c>
      <c r="C187" s="3">
        <v>46036</v>
      </c>
      <c r="D187" t="s">
        <v>70</v>
      </c>
      <c r="E187" t="s">
        <v>46</v>
      </c>
      <c r="F187" t="s">
        <v>84</v>
      </c>
      <c r="G187" t="s">
        <v>85</v>
      </c>
      <c r="H187">
        <v>5</v>
      </c>
      <c r="I187">
        <v>1800</v>
      </c>
      <c r="J187">
        <v>0.03</v>
      </c>
      <c r="K187" t="s">
        <v>55</v>
      </c>
      <c r="L187" t="s">
        <v>47</v>
      </c>
      <c r="M187" t="s">
        <v>226</v>
      </c>
      <c r="N187">
        <f>SalesTable[[#This Row],[الكمية]]*SalesTable[[#This Row],[سعر الوحدة]]</f>
        <v>9000</v>
      </c>
      <c r="O187">
        <f>SalesTable[[#This Row],[الكمية]]*SalesTable[[#This Row],[سعر الوحدة]]*(1-SalesTable[[#This Row],[الخصم]])</f>
        <v>8730</v>
      </c>
    </row>
    <row r="188" spans="1:15" x14ac:dyDescent="0.3">
      <c r="A188">
        <v>10187</v>
      </c>
      <c r="B188" t="s">
        <v>62</v>
      </c>
      <c r="C188" s="3">
        <v>46132</v>
      </c>
      <c r="D188" t="s">
        <v>29</v>
      </c>
      <c r="E188" t="s">
        <v>30</v>
      </c>
      <c r="F188" t="s">
        <v>16</v>
      </c>
      <c r="G188" t="s">
        <v>79</v>
      </c>
      <c r="H188">
        <v>5</v>
      </c>
      <c r="I188">
        <v>7500</v>
      </c>
      <c r="J188">
        <v>0.15</v>
      </c>
      <c r="K188" t="s">
        <v>38</v>
      </c>
      <c r="L188" t="s">
        <v>47</v>
      </c>
      <c r="M188" t="s">
        <v>227</v>
      </c>
      <c r="N188">
        <f>SalesTable[[#This Row],[الكمية]]*SalesTable[[#This Row],[سعر الوحدة]]</f>
        <v>37500</v>
      </c>
      <c r="O188">
        <f>SalesTable[[#This Row],[الكمية]]*SalesTable[[#This Row],[سعر الوحدة]]*(1-SalesTable[[#This Row],[الخصم]])</f>
        <v>31875</v>
      </c>
    </row>
    <row r="189" spans="1:15" x14ac:dyDescent="0.3">
      <c r="A189">
        <v>10188</v>
      </c>
      <c r="B189" t="s">
        <v>62</v>
      </c>
      <c r="C189" s="3">
        <v>46067</v>
      </c>
      <c r="D189" t="s">
        <v>104</v>
      </c>
      <c r="E189" t="s">
        <v>23</v>
      </c>
      <c r="F189" t="s">
        <v>64</v>
      </c>
      <c r="G189" t="s">
        <v>71</v>
      </c>
      <c r="H189">
        <v>8</v>
      </c>
      <c r="I189">
        <v>28000</v>
      </c>
      <c r="J189">
        <v>0.03</v>
      </c>
      <c r="K189" t="s">
        <v>38</v>
      </c>
      <c r="L189" t="s">
        <v>34</v>
      </c>
      <c r="M189" t="s">
        <v>228</v>
      </c>
      <c r="N189">
        <f>SalesTable[[#This Row],[الكمية]]*SalesTable[[#This Row],[سعر الوحدة]]</f>
        <v>224000</v>
      </c>
      <c r="O189">
        <f>SalesTable[[#This Row],[الكمية]]*SalesTable[[#This Row],[سعر الوحدة]]*(1-SalesTable[[#This Row],[الخصم]])</f>
        <v>217280</v>
      </c>
    </row>
    <row r="190" spans="1:15" x14ac:dyDescent="0.3">
      <c r="A190">
        <v>10189</v>
      </c>
      <c r="B190" t="s">
        <v>112</v>
      </c>
      <c r="C190" s="3">
        <v>46208</v>
      </c>
      <c r="D190" t="s">
        <v>53</v>
      </c>
      <c r="E190" t="s">
        <v>15</v>
      </c>
      <c r="F190" t="s">
        <v>87</v>
      </c>
      <c r="G190" t="s">
        <v>88</v>
      </c>
      <c r="H190">
        <v>3</v>
      </c>
      <c r="I190">
        <v>3200</v>
      </c>
      <c r="J190">
        <v>0.15</v>
      </c>
      <c r="K190" t="s">
        <v>55</v>
      </c>
      <c r="L190" t="s">
        <v>19</v>
      </c>
      <c r="M190" t="s">
        <v>227</v>
      </c>
      <c r="N190">
        <f>SalesTable[[#This Row],[الكمية]]*SalesTable[[#This Row],[سعر الوحدة]]</f>
        <v>9600</v>
      </c>
      <c r="O190">
        <f>SalesTable[[#This Row],[الكمية]]*SalesTable[[#This Row],[سعر الوحدة]]*(1-SalesTable[[#This Row],[الخصم]])</f>
        <v>8160</v>
      </c>
    </row>
    <row r="191" spans="1:15" x14ac:dyDescent="0.3">
      <c r="A191">
        <v>10190</v>
      </c>
      <c r="B191" t="s">
        <v>67</v>
      </c>
      <c r="C191" s="3">
        <v>46306</v>
      </c>
      <c r="D191" t="s">
        <v>40</v>
      </c>
      <c r="E191" t="s">
        <v>41</v>
      </c>
      <c r="F191" t="s">
        <v>64</v>
      </c>
      <c r="G191" t="s">
        <v>184</v>
      </c>
      <c r="H191">
        <v>8</v>
      </c>
      <c r="I191">
        <v>150</v>
      </c>
      <c r="J191">
        <v>0</v>
      </c>
      <c r="K191" t="s">
        <v>38</v>
      </c>
      <c r="L191" t="s">
        <v>47</v>
      </c>
      <c r="M191" t="s">
        <v>164</v>
      </c>
      <c r="N191">
        <f>SalesTable[[#This Row],[الكمية]]*SalesTable[[#This Row],[سعر الوحدة]]</f>
        <v>1200</v>
      </c>
      <c r="O191">
        <f>SalesTable[[#This Row],[الكمية]]*SalesTable[[#This Row],[سعر الوحدة]]*(1-SalesTable[[#This Row],[الخصم]])</f>
        <v>1200</v>
      </c>
    </row>
    <row r="192" spans="1:15" x14ac:dyDescent="0.3">
      <c r="A192">
        <v>10191</v>
      </c>
      <c r="B192" t="s">
        <v>62</v>
      </c>
      <c r="C192" s="3">
        <v>46292</v>
      </c>
      <c r="D192" t="s">
        <v>37</v>
      </c>
      <c r="E192" t="s">
        <v>23</v>
      </c>
      <c r="F192" t="s">
        <v>16</v>
      </c>
      <c r="G192" t="s">
        <v>17</v>
      </c>
      <c r="H192">
        <v>5</v>
      </c>
      <c r="I192">
        <v>32000</v>
      </c>
      <c r="J192">
        <v>7.0000000000000007E-2</v>
      </c>
      <c r="K192" t="s">
        <v>33</v>
      </c>
      <c r="L192" t="s">
        <v>47</v>
      </c>
      <c r="M192" t="s">
        <v>158</v>
      </c>
      <c r="N192">
        <f>SalesTable[[#This Row],[الكمية]]*SalesTable[[#This Row],[سعر الوحدة]]</f>
        <v>160000</v>
      </c>
      <c r="O192">
        <f>SalesTable[[#This Row],[الكمية]]*SalesTable[[#This Row],[سعر الوحدة]]*(1-SalesTable[[#This Row],[الخصم]])</f>
        <v>148800</v>
      </c>
    </row>
    <row r="193" spans="1:15" x14ac:dyDescent="0.3">
      <c r="A193">
        <v>10192</v>
      </c>
      <c r="B193" t="s">
        <v>62</v>
      </c>
      <c r="C193" s="3">
        <v>46371</v>
      </c>
      <c r="D193" t="s">
        <v>104</v>
      </c>
      <c r="E193" t="s">
        <v>23</v>
      </c>
      <c r="F193" t="s">
        <v>64</v>
      </c>
      <c r="G193" t="s">
        <v>107</v>
      </c>
      <c r="H193">
        <v>2</v>
      </c>
      <c r="I193">
        <v>28000</v>
      </c>
      <c r="J193">
        <v>7.0000000000000007E-2</v>
      </c>
      <c r="K193" t="s">
        <v>38</v>
      </c>
      <c r="L193" t="s">
        <v>26</v>
      </c>
      <c r="M193" t="s">
        <v>164</v>
      </c>
      <c r="N193">
        <f>SalesTable[[#This Row],[الكمية]]*SalesTable[[#This Row],[سعر الوحدة]]</f>
        <v>56000</v>
      </c>
      <c r="O193">
        <f>SalesTable[[#This Row],[الكمية]]*SalesTable[[#This Row],[سعر الوحدة]]*(1-SalesTable[[#This Row],[الخصم]])</f>
        <v>52080</v>
      </c>
    </row>
    <row r="194" spans="1:15" x14ac:dyDescent="0.3">
      <c r="A194">
        <v>10193</v>
      </c>
      <c r="B194" t="s">
        <v>28</v>
      </c>
      <c r="C194" s="3">
        <v>46086</v>
      </c>
      <c r="D194" t="s">
        <v>14</v>
      </c>
      <c r="E194" t="s">
        <v>15</v>
      </c>
      <c r="F194" t="s">
        <v>64</v>
      </c>
      <c r="G194" t="s">
        <v>184</v>
      </c>
      <c r="H194">
        <v>7</v>
      </c>
      <c r="I194">
        <v>650</v>
      </c>
      <c r="J194">
        <v>0.1</v>
      </c>
      <c r="K194" t="s">
        <v>55</v>
      </c>
      <c r="L194" t="s">
        <v>34</v>
      </c>
      <c r="M194" t="s">
        <v>229</v>
      </c>
      <c r="N194">
        <f>SalesTable[[#This Row],[الكمية]]*SalesTable[[#This Row],[سعر الوحدة]]</f>
        <v>4550</v>
      </c>
      <c r="O194">
        <f>SalesTable[[#This Row],[الكمية]]*SalesTable[[#This Row],[سعر الوحدة]]*(1-SalesTable[[#This Row],[الخصم]])</f>
        <v>4095</v>
      </c>
    </row>
    <row r="195" spans="1:15" x14ac:dyDescent="0.3">
      <c r="A195">
        <v>10194</v>
      </c>
      <c r="B195" t="s">
        <v>21</v>
      </c>
      <c r="C195" s="3">
        <v>46168</v>
      </c>
      <c r="D195" t="s">
        <v>37</v>
      </c>
      <c r="E195" t="s">
        <v>23</v>
      </c>
      <c r="F195" t="s">
        <v>49</v>
      </c>
      <c r="G195" t="s">
        <v>122</v>
      </c>
      <c r="H195">
        <v>4</v>
      </c>
      <c r="I195">
        <v>32000</v>
      </c>
      <c r="J195">
        <v>0.05</v>
      </c>
      <c r="K195" t="s">
        <v>18</v>
      </c>
      <c r="L195" t="s">
        <v>34</v>
      </c>
      <c r="M195" t="s">
        <v>230</v>
      </c>
      <c r="N195">
        <f>SalesTable[[#This Row],[الكمية]]*SalesTable[[#This Row],[سعر الوحدة]]</f>
        <v>128000</v>
      </c>
      <c r="O195">
        <f>SalesTable[[#This Row],[الكمية]]*SalesTable[[#This Row],[سعر الوحدة]]*(1-SalesTable[[#This Row],[الخصم]])</f>
        <v>121600</v>
      </c>
    </row>
    <row r="196" spans="1:15" x14ac:dyDescent="0.3">
      <c r="A196">
        <v>10195</v>
      </c>
      <c r="B196" t="s">
        <v>21</v>
      </c>
      <c r="C196" s="3">
        <v>46070</v>
      </c>
      <c r="D196" t="s">
        <v>14</v>
      </c>
      <c r="E196" t="s">
        <v>15</v>
      </c>
      <c r="F196" t="s">
        <v>87</v>
      </c>
      <c r="G196" t="s">
        <v>101</v>
      </c>
      <c r="H196">
        <v>5</v>
      </c>
      <c r="I196">
        <v>650</v>
      </c>
      <c r="J196">
        <v>0.1</v>
      </c>
      <c r="K196" t="s">
        <v>55</v>
      </c>
      <c r="L196" t="s">
        <v>26</v>
      </c>
      <c r="M196" t="s">
        <v>51</v>
      </c>
      <c r="N196">
        <f>SalesTable[[#This Row],[الكمية]]*SalesTable[[#This Row],[سعر الوحدة]]</f>
        <v>3250</v>
      </c>
      <c r="O196">
        <f>SalesTable[[#This Row],[الكمية]]*SalesTable[[#This Row],[سعر الوحدة]]*(1-SalesTable[[#This Row],[الخصم]])</f>
        <v>2925</v>
      </c>
    </row>
    <row r="197" spans="1:15" x14ac:dyDescent="0.3">
      <c r="A197">
        <v>10196</v>
      </c>
      <c r="B197" t="s">
        <v>44</v>
      </c>
      <c r="C197" s="3">
        <v>46046</v>
      </c>
      <c r="D197" t="s">
        <v>14</v>
      </c>
      <c r="E197" t="s">
        <v>15</v>
      </c>
      <c r="F197" t="s">
        <v>49</v>
      </c>
      <c r="G197" t="s">
        <v>122</v>
      </c>
      <c r="H197">
        <v>1</v>
      </c>
      <c r="I197">
        <v>650</v>
      </c>
      <c r="J197">
        <v>0</v>
      </c>
      <c r="K197" t="s">
        <v>38</v>
      </c>
      <c r="L197" t="s">
        <v>26</v>
      </c>
      <c r="M197" t="s">
        <v>213</v>
      </c>
      <c r="N197">
        <f>SalesTable[[#This Row],[الكمية]]*SalesTable[[#This Row],[سعر الوحدة]]</f>
        <v>650</v>
      </c>
      <c r="O197">
        <f>SalesTable[[#This Row],[الكمية]]*SalesTable[[#This Row],[سعر الوحدة]]*(1-SalesTable[[#This Row],[الخصم]])</f>
        <v>650</v>
      </c>
    </row>
    <row r="198" spans="1:15" x14ac:dyDescent="0.3">
      <c r="A198">
        <v>10197</v>
      </c>
      <c r="B198" t="s">
        <v>52</v>
      </c>
      <c r="C198" s="3">
        <v>46270</v>
      </c>
      <c r="D198" t="s">
        <v>29</v>
      </c>
      <c r="E198" t="s">
        <v>30</v>
      </c>
      <c r="F198" t="s">
        <v>24</v>
      </c>
      <c r="G198" t="s">
        <v>42</v>
      </c>
      <c r="H198">
        <v>9</v>
      </c>
      <c r="I198">
        <v>7500</v>
      </c>
      <c r="J198">
        <v>0.05</v>
      </c>
      <c r="K198" t="s">
        <v>55</v>
      </c>
      <c r="L198" t="s">
        <v>47</v>
      </c>
      <c r="M198" t="s">
        <v>231</v>
      </c>
      <c r="N198">
        <f>SalesTable[[#This Row],[الكمية]]*SalesTable[[#This Row],[سعر الوحدة]]</f>
        <v>67500</v>
      </c>
      <c r="O198">
        <f>SalesTable[[#This Row],[الكمية]]*SalesTable[[#This Row],[سعر الوحدة]]*(1-SalesTable[[#This Row],[الخصم]])</f>
        <v>64125</v>
      </c>
    </row>
    <row r="199" spans="1:15" x14ac:dyDescent="0.3">
      <c r="A199">
        <v>10198</v>
      </c>
      <c r="B199" t="s">
        <v>36</v>
      </c>
      <c r="C199" s="3">
        <v>46270</v>
      </c>
      <c r="D199" t="s">
        <v>48</v>
      </c>
      <c r="E199" t="s">
        <v>30</v>
      </c>
      <c r="F199" t="s">
        <v>16</v>
      </c>
      <c r="G199" t="s">
        <v>17</v>
      </c>
      <c r="H199">
        <v>3</v>
      </c>
      <c r="I199">
        <v>9000</v>
      </c>
      <c r="J199">
        <v>7.0000000000000007E-2</v>
      </c>
      <c r="K199" t="s">
        <v>33</v>
      </c>
      <c r="L199" t="s">
        <v>26</v>
      </c>
      <c r="M199" t="s">
        <v>165</v>
      </c>
      <c r="N199">
        <f>SalesTable[[#This Row],[الكمية]]*SalesTable[[#This Row],[سعر الوحدة]]</f>
        <v>27000</v>
      </c>
      <c r="O199">
        <f>SalesTable[[#This Row],[الكمية]]*SalesTable[[#This Row],[سعر الوحدة]]*(1-SalesTable[[#This Row],[الخصم]])</f>
        <v>25110</v>
      </c>
    </row>
    <row r="200" spans="1:15" x14ac:dyDescent="0.3">
      <c r="A200">
        <v>10199</v>
      </c>
      <c r="B200" t="s">
        <v>67</v>
      </c>
      <c r="C200" s="3">
        <v>46227</v>
      </c>
      <c r="D200" t="s">
        <v>95</v>
      </c>
      <c r="E200" t="s">
        <v>15</v>
      </c>
      <c r="F200" t="s">
        <v>64</v>
      </c>
      <c r="G200" t="s">
        <v>107</v>
      </c>
      <c r="H200">
        <v>6</v>
      </c>
      <c r="I200">
        <v>5200</v>
      </c>
      <c r="J200">
        <v>0.15</v>
      </c>
      <c r="K200" t="s">
        <v>55</v>
      </c>
      <c r="L200" t="s">
        <v>34</v>
      </c>
      <c r="M200" t="s">
        <v>126</v>
      </c>
      <c r="N200">
        <f>SalesTable[[#This Row],[الكمية]]*SalesTable[[#This Row],[سعر الوحدة]]</f>
        <v>31200</v>
      </c>
      <c r="O200">
        <f>SalesTable[[#This Row],[الكمية]]*SalesTable[[#This Row],[سعر الوحدة]]*(1-SalesTable[[#This Row],[الخصم]])</f>
        <v>26520</v>
      </c>
    </row>
    <row r="201" spans="1:15" x14ac:dyDescent="0.3">
      <c r="A201">
        <v>10200</v>
      </c>
      <c r="B201" t="s">
        <v>44</v>
      </c>
      <c r="C201" s="3">
        <v>46159</v>
      </c>
      <c r="D201" t="s">
        <v>53</v>
      </c>
      <c r="E201" t="s">
        <v>15</v>
      </c>
      <c r="F201" t="s">
        <v>16</v>
      </c>
      <c r="G201" t="s">
        <v>79</v>
      </c>
      <c r="H201">
        <v>4</v>
      </c>
      <c r="I201">
        <v>3200</v>
      </c>
      <c r="J201">
        <v>7.0000000000000007E-2</v>
      </c>
      <c r="K201" t="s">
        <v>33</v>
      </c>
      <c r="L201" t="s">
        <v>26</v>
      </c>
      <c r="M201" t="s">
        <v>232</v>
      </c>
      <c r="N201">
        <f>SalesTable[[#This Row],[الكمية]]*SalesTable[[#This Row],[سعر الوحدة]]</f>
        <v>12800</v>
      </c>
      <c r="O201">
        <f>SalesTable[[#This Row],[الكمية]]*SalesTable[[#This Row],[سعر الوحدة]]*(1-SalesTable[[#This Row],[الخصم]])</f>
        <v>11904</v>
      </c>
    </row>
    <row r="202" spans="1:15" x14ac:dyDescent="0.3">
      <c r="A202">
        <v>10201</v>
      </c>
      <c r="B202" t="s">
        <v>36</v>
      </c>
      <c r="C202" s="3">
        <v>46150</v>
      </c>
      <c r="D202" t="s">
        <v>104</v>
      </c>
      <c r="E202" t="s">
        <v>23</v>
      </c>
      <c r="F202" t="s">
        <v>24</v>
      </c>
      <c r="G202" t="s">
        <v>57</v>
      </c>
      <c r="H202">
        <v>7</v>
      </c>
      <c r="I202">
        <v>28000</v>
      </c>
      <c r="J202">
        <v>0.1</v>
      </c>
      <c r="K202" t="s">
        <v>55</v>
      </c>
      <c r="L202" t="s">
        <v>34</v>
      </c>
      <c r="M202" t="s">
        <v>43</v>
      </c>
      <c r="N202">
        <f>SalesTable[[#This Row],[الكمية]]*SalesTable[[#This Row],[سعر الوحدة]]</f>
        <v>196000</v>
      </c>
      <c r="O202">
        <f>SalesTable[[#This Row],[الكمية]]*SalesTable[[#This Row],[سعر الوحدة]]*(1-SalesTable[[#This Row],[الخصم]])</f>
        <v>176400</v>
      </c>
    </row>
    <row r="203" spans="1:15" x14ac:dyDescent="0.3">
      <c r="A203">
        <v>10202</v>
      </c>
      <c r="B203" t="s">
        <v>21</v>
      </c>
      <c r="C203" s="3">
        <v>46262</v>
      </c>
      <c r="D203" t="s">
        <v>81</v>
      </c>
      <c r="E203" t="s">
        <v>41</v>
      </c>
      <c r="F203" t="s">
        <v>49</v>
      </c>
      <c r="G203" t="s">
        <v>50</v>
      </c>
      <c r="H203">
        <v>3</v>
      </c>
      <c r="I203">
        <v>2200</v>
      </c>
      <c r="J203">
        <v>7.0000000000000007E-2</v>
      </c>
      <c r="K203" t="s">
        <v>33</v>
      </c>
      <c r="L203" t="s">
        <v>34</v>
      </c>
      <c r="M203" t="s">
        <v>233</v>
      </c>
      <c r="N203">
        <f>SalesTable[[#This Row],[الكمية]]*SalesTable[[#This Row],[سعر الوحدة]]</f>
        <v>6600</v>
      </c>
      <c r="O203">
        <f>SalesTable[[#This Row],[الكمية]]*SalesTable[[#This Row],[سعر الوحدة]]*(1-SalesTable[[#This Row],[الخصم]])</f>
        <v>6138</v>
      </c>
    </row>
    <row r="204" spans="1:15" x14ac:dyDescent="0.3">
      <c r="A204">
        <v>10203</v>
      </c>
      <c r="B204" t="s">
        <v>13</v>
      </c>
      <c r="C204" s="3">
        <v>46133</v>
      </c>
      <c r="D204" t="s">
        <v>22</v>
      </c>
      <c r="E204" t="s">
        <v>23</v>
      </c>
      <c r="F204" t="s">
        <v>16</v>
      </c>
      <c r="G204" t="s">
        <v>189</v>
      </c>
      <c r="H204">
        <v>9</v>
      </c>
      <c r="I204">
        <v>25000</v>
      </c>
      <c r="J204">
        <v>7.0000000000000007E-2</v>
      </c>
      <c r="K204" t="s">
        <v>38</v>
      </c>
      <c r="L204" t="s">
        <v>19</v>
      </c>
      <c r="M204" t="s">
        <v>128</v>
      </c>
      <c r="N204">
        <f>SalesTable[[#This Row],[الكمية]]*SalesTable[[#This Row],[سعر الوحدة]]</f>
        <v>225000</v>
      </c>
      <c r="O204">
        <f>SalesTable[[#This Row],[الكمية]]*SalesTable[[#This Row],[سعر الوحدة]]*(1-SalesTable[[#This Row],[الخصم]])</f>
        <v>209250</v>
      </c>
    </row>
    <row r="205" spans="1:15" x14ac:dyDescent="0.3">
      <c r="A205">
        <v>10204</v>
      </c>
      <c r="B205" t="s">
        <v>21</v>
      </c>
      <c r="C205" s="3">
        <v>46027</v>
      </c>
      <c r="D205" t="s">
        <v>110</v>
      </c>
      <c r="E205" t="s">
        <v>46</v>
      </c>
      <c r="F205" t="s">
        <v>59</v>
      </c>
      <c r="G205" t="s">
        <v>75</v>
      </c>
      <c r="H205">
        <v>8</v>
      </c>
      <c r="I205">
        <v>450</v>
      </c>
      <c r="J205">
        <v>0.05</v>
      </c>
      <c r="K205" t="s">
        <v>18</v>
      </c>
      <c r="L205" t="s">
        <v>47</v>
      </c>
      <c r="M205" t="s">
        <v>234</v>
      </c>
      <c r="N205">
        <f>SalesTable[[#This Row],[الكمية]]*SalesTable[[#This Row],[سعر الوحدة]]</f>
        <v>3600</v>
      </c>
      <c r="O205">
        <f>SalesTable[[#This Row],[الكمية]]*SalesTable[[#This Row],[سعر الوحدة]]*(1-SalesTable[[#This Row],[الخصم]])</f>
        <v>3420</v>
      </c>
    </row>
    <row r="206" spans="1:15" x14ac:dyDescent="0.3">
      <c r="A206">
        <v>10205</v>
      </c>
      <c r="B206" t="s">
        <v>67</v>
      </c>
      <c r="C206" s="3">
        <v>46046</v>
      </c>
      <c r="D206" t="s">
        <v>90</v>
      </c>
      <c r="E206" t="s">
        <v>91</v>
      </c>
      <c r="F206" t="s">
        <v>87</v>
      </c>
      <c r="G206" t="s">
        <v>103</v>
      </c>
      <c r="H206">
        <v>6</v>
      </c>
      <c r="I206">
        <v>6500</v>
      </c>
      <c r="J206">
        <v>7.0000000000000007E-2</v>
      </c>
      <c r="K206" t="s">
        <v>33</v>
      </c>
      <c r="L206" t="s">
        <v>19</v>
      </c>
      <c r="M206" t="s">
        <v>124</v>
      </c>
      <c r="N206">
        <f>SalesTable[[#This Row],[الكمية]]*SalesTable[[#This Row],[سعر الوحدة]]</f>
        <v>39000</v>
      </c>
      <c r="O206">
        <f>SalesTable[[#This Row],[الكمية]]*SalesTable[[#This Row],[سعر الوحدة]]*(1-SalesTable[[#This Row],[الخصم]])</f>
        <v>36270</v>
      </c>
    </row>
    <row r="207" spans="1:15" x14ac:dyDescent="0.3">
      <c r="A207">
        <v>10206</v>
      </c>
      <c r="B207" t="s">
        <v>44</v>
      </c>
      <c r="C207" s="3">
        <v>46220</v>
      </c>
      <c r="D207" t="s">
        <v>53</v>
      </c>
      <c r="E207" t="s">
        <v>15</v>
      </c>
      <c r="F207" t="s">
        <v>31</v>
      </c>
      <c r="G207" t="s">
        <v>32</v>
      </c>
      <c r="H207">
        <v>9</v>
      </c>
      <c r="I207">
        <v>3200</v>
      </c>
      <c r="J207">
        <v>0.05</v>
      </c>
      <c r="K207" t="s">
        <v>33</v>
      </c>
      <c r="L207" t="s">
        <v>34</v>
      </c>
      <c r="M207" t="s">
        <v>151</v>
      </c>
      <c r="N207">
        <f>SalesTable[[#This Row],[الكمية]]*SalesTable[[#This Row],[سعر الوحدة]]</f>
        <v>28800</v>
      </c>
      <c r="O207">
        <f>SalesTable[[#This Row],[الكمية]]*SalesTable[[#This Row],[سعر الوحدة]]*(1-SalesTable[[#This Row],[الخصم]])</f>
        <v>27360</v>
      </c>
    </row>
    <row r="208" spans="1:15" x14ac:dyDescent="0.3">
      <c r="A208">
        <v>10207</v>
      </c>
      <c r="B208" t="s">
        <v>21</v>
      </c>
      <c r="C208" s="3">
        <v>46210</v>
      </c>
      <c r="D208" t="s">
        <v>37</v>
      </c>
      <c r="E208" t="s">
        <v>23</v>
      </c>
      <c r="F208" t="s">
        <v>16</v>
      </c>
      <c r="G208" t="s">
        <v>189</v>
      </c>
      <c r="H208">
        <v>6</v>
      </c>
      <c r="I208">
        <v>32000</v>
      </c>
      <c r="J208">
        <v>0.05</v>
      </c>
      <c r="K208" t="s">
        <v>55</v>
      </c>
      <c r="L208" t="s">
        <v>26</v>
      </c>
      <c r="M208" t="s">
        <v>235</v>
      </c>
      <c r="N208">
        <f>SalesTable[[#This Row],[الكمية]]*SalesTable[[#This Row],[سعر الوحدة]]</f>
        <v>192000</v>
      </c>
      <c r="O208">
        <f>SalesTable[[#This Row],[الكمية]]*SalesTable[[#This Row],[سعر الوحدة]]*(1-SalesTable[[#This Row],[الخصم]])</f>
        <v>182400</v>
      </c>
    </row>
    <row r="209" spans="1:15" x14ac:dyDescent="0.3">
      <c r="A209">
        <v>10208</v>
      </c>
      <c r="B209" t="s">
        <v>67</v>
      </c>
      <c r="C209" s="3">
        <v>46265</v>
      </c>
      <c r="D209" t="s">
        <v>29</v>
      </c>
      <c r="E209" t="s">
        <v>30</v>
      </c>
      <c r="F209" t="s">
        <v>24</v>
      </c>
      <c r="G209" t="s">
        <v>25</v>
      </c>
      <c r="H209">
        <v>1</v>
      </c>
      <c r="I209">
        <v>7500</v>
      </c>
      <c r="J209">
        <v>0.03</v>
      </c>
      <c r="K209" t="s">
        <v>33</v>
      </c>
      <c r="L209" t="s">
        <v>26</v>
      </c>
      <c r="M209" t="s">
        <v>126</v>
      </c>
      <c r="N209">
        <f>SalesTable[[#This Row],[الكمية]]*SalesTable[[#This Row],[سعر الوحدة]]</f>
        <v>7500</v>
      </c>
      <c r="O209">
        <f>SalesTable[[#This Row],[الكمية]]*SalesTable[[#This Row],[سعر الوحدة]]*(1-SalesTable[[#This Row],[الخصم]])</f>
        <v>7275</v>
      </c>
    </row>
    <row r="210" spans="1:15" x14ac:dyDescent="0.3">
      <c r="A210">
        <v>10209</v>
      </c>
      <c r="B210" t="s">
        <v>36</v>
      </c>
      <c r="C210" s="3">
        <v>46338</v>
      </c>
      <c r="D210" t="s">
        <v>37</v>
      </c>
      <c r="E210" t="s">
        <v>23</v>
      </c>
      <c r="F210" t="s">
        <v>49</v>
      </c>
      <c r="G210" t="s">
        <v>122</v>
      </c>
      <c r="H210">
        <v>6</v>
      </c>
      <c r="I210">
        <v>32000</v>
      </c>
      <c r="J210">
        <v>0.03</v>
      </c>
      <c r="K210" t="s">
        <v>38</v>
      </c>
      <c r="L210" t="s">
        <v>34</v>
      </c>
      <c r="M210" t="s">
        <v>206</v>
      </c>
      <c r="N210">
        <f>SalesTable[[#This Row],[الكمية]]*SalesTable[[#This Row],[سعر الوحدة]]</f>
        <v>192000</v>
      </c>
      <c r="O210">
        <f>SalesTable[[#This Row],[الكمية]]*SalesTable[[#This Row],[سعر الوحدة]]*(1-SalesTable[[#This Row],[الخصم]])</f>
        <v>186240</v>
      </c>
    </row>
    <row r="211" spans="1:15" x14ac:dyDescent="0.3">
      <c r="A211">
        <v>10210</v>
      </c>
      <c r="B211" t="s">
        <v>62</v>
      </c>
      <c r="C211" s="3">
        <v>46031</v>
      </c>
      <c r="D211" t="s">
        <v>68</v>
      </c>
      <c r="E211" t="s">
        <v>46</v>
      </c>
      <c r="F211" t="s">
        <v>59</v>
      </c>
      <c r="G211" t="s">
        <v>75</v>
      </c>
      <c r="H211">
        <v>10</v>
      </c>
      <c r="I211">
        <v>1400</v>
      </c>
      <c r="J211">
        <v>0.05</v>
      </c>
      <c r="K211" t="s">
        <v>38</v>
      </c>
      <c r="L211" t="s">
        <v>34</v>
      </c>
      <c r="M211" t="s">
        <v>186</v>
      </c>
      <c r="N211">
        <f>SalesTable[[#This Row],[الكمية]]*SalesTable[[#This Row],[سعر الوحدة]]</f>
        <v>14000</v>
      </c>
      <c r="O211">
        <f>SalesTable[[#This Row],[الكمية]]*SalesTable[[#This Row],[سعر الوحدة]]*(1-SalesTable[[#This Row],[الخصم]])</f>
        <v>13300</v>
      </c>
    </row>
    <row r="212" spans="1:15" x14ac:dyDescent="0.3">
      <c r="A212">
        <v>10211</v>
      </c>
      <c r="B212" t="s">
        <v>62</v>
      </c>
      <c r="C212" s="3">
        <v>46158</v>
      </c>
      <c r="D212" t="s">
        <v>29</v>
      </c>
      <c r="E212" t="s">
        <v>30</v>
      </c>
      <c r="F212" t="s">
        <v>87</v>
      </c>
      <c r="G212" t="s">
        <v>103</v>
      </c>
      <c r="H212">
        <v>1</v>
      </c>
      <c r="I212">
        <v>7500</v>
      </c>
      <c r="J212">
        <v>0.1</v>
      </c>
      <c r="K212" t="s">
        <v>55</v>
      </c>
      <c r="L212" t="s">
        <v>19</v>
      </c>
      <c r="M212" t="s">
        <v>61</v>
      </c>
      <c r="N212">
        <f>SalesTable[[#This Row],[الكمية]]*SalesTable[[#This Row],[سعر الوحدة]]</f>
        <v>7500</v>
      </c>
      <c r="O212">
        <f>SalesTable[[#This Row],[الكمية]]*SalesTable[[#This Row],[سعر الوحدة]]*(1-SalesTable[[#This Row],[الخصم]])</f>
        <v>6750</v>
      </c>
    </row>
    <row r="213" spans="1:15" x14ac:dyDescent="0.3">
      <c r="A213">
        <v>10212</v>
      </c>
      <c r="B213" t="s">
        <v>13</v>
      </c>
      <c r="C213" s="3">
        <v>46039</v>
      </c>
      <c r="D213" t="s">
        <v>48</v>
      </c>
      <c r="E213" t="s">
        <v>30</v>
      </c>
      <c r="F213" t="s">
        <v>64</v>
      </c>
      <c r="G213" t="s">
        <v>65</v>
      </c>
      <c r="H213">
        <v>3</v>
      </c>
      <c r="I213">
        <v>9000</v>
      </c>
      <c r="J213">
        <v>0.15</v>
      </c>
      <c r="K213" t="s">
        <v>18</v>
      </c>
      <c r="L213" t="s">
        <v>26</v>
      </c>
      <c r="M213" t="s">
        <v>217</v>
      </c>
      <c r="N213">
        <f>SalesTable[[#This Row],[الكمية]]*SalesTable[[#This Row],[سعر الوحدة]]</f>
        <v>27000</v>
      </c>
      <c r="O213">
        <f>SalesTable[[#This Row],[الكمية]]*SalesTable[[#This Row],[سعر الوحدة]]*(1-SalesTable[[#This Row],[الخصم]])</f>
        <v>22950</v>
      </c>
    </row>
    <row r="214" spans="1:15" x14ac:dyDescent="0.3">
      <c r="A214">
        <v>10213</v>
      </c>
      <c r="B214" t="s">
        <v>13</v>
      </c>
      <c r="C214" s="3">
        <v>46233</v>
      </c>
      <c r="D214" t="s">
        <v>48</v>
      </c>
      <c r="E214" t="s">
        <v>30</v>
      </c>
      <c r="F214" t="s">
        <v>49</v>
      </c>
      <c r="G214" t="s">
        <v>98</v>
      </c>
      <c r="H214">
        <v>3</v>
      </c>
      <c r="I214">
        <v>9000</v>
      </c>
      <c r="J214">
        <v>7.0000000000000007E-2</v>
      </c>
      <c r="K214" t="s">
        <v>33</v>
      </c>
      <c r="L214" t="s">
        <v>19</v>
      </c>
      <c r="M214" t="s">
        <v>131</v>
      </c>
      <c r="N214">
        <f>SalesTable[[#This Row],[الكمية]]*SalesTable[[#This Row],[سعر الوحدة]]</f>
        <v>27000</v>
      </c>
      <c r="O214">
        <f>SalesTable[[#This Row],[الكمية]]*SalesTable[[#This Row],[سعر الوحدة]]*(1-SalesTable[[#This Row],[الخصم]])</f>
        <v>25110</v>
      </c>
    </row>
    <row r="215" spans="1:15" x14ac:dyDescent="0.3">
      <c r="A215">
        <v>10214</v>
      </c>
      <c r="B215" t="s">
        <v>62</v>
      </c>
      <c r="C215" s="3">
        <v>46292</v>
      </c>
      <c r="D215" t="s">
        <v>53</v>
      </c>
      <c r="E215" t="s">
        <v>15</v>
      </c>
      <c r="F215" t="s">
        <v>31</v>
      </c>
      <c r="G215" t="s">
        <v>77</v>
      </c>
      <c r="H215">
        <v>6</v>
      </c>
      <c r="I215">
        <v>3200</v>
      </c>
      <c r="J215">
        <v>0.15</v>
      </c>
      <c r="K215" t="s">
        <v>33</v>
      </c>
      <c r="L215" t="s">
        <v>34</v>
      </c>
      <c r="M215" t="s">
        <v>236</v>
      </c>
      <c r="N215">
        <f>SalesTable[[#This Row],[الكمية]]*SalesTable[[#This Row],[سعر الوحدة]]</f>
        <v>19200</v>
      </c>
      <c r="O215">
        <f>SalesTable[[#This Row],[الكمية]]*SalesTable[[#This Row],[سعر الوحدة]]*(1-SalesTable[[#This Row],[الخصم]])</f>
        <v>16320</v>
      </c>
    </row>
    <row r="216" spans="1:15" x14ac:dyDescent="0.3">
      <c r="A216">
        <v>10215</v>
      </c>
      <c r="B216" t="s">
        <v>52</v>
      </c>
      <c r="C216" s="3">
        <v>46335</v>
      </c>
      <c r="D216" t="s">
        <v>48</v>
      </c>
      <c r="E216" t="s">
        <v>30</v>
      </c>
      <c r="F216" t="s">
        <v>49</v>
      </c>
      <c r="G216" t="s">
        <v>122</v>
      </c>
      <c r="H216">
        <v>6</v>
      </c>
      <c r="I216">
        <v>9000</v>
      </c>
      <c r="J216">
        <v>0.15</v>
      </c>
      <c r="K216" t="s">
        <v>33</v>
      </c>
      <c r="L216" t="s">
        <v>26</v>
      </c>
      <c r="M216" t="s">
        <v>78</v>
      </c>
      <c r="N216">
        <f>SalesTable[[#This Row],[الكمية]]*SalesTable[[#This Row],[سعر الوحدة]]</f>
        <v>54000</v>
      </c>
      <c r="O216">
        <f>SalesTable[[#This Row],[الكمية]]*SalesTable[[#This Row],[سعر الوحدة]]*(1-SalesTable[[#This Row],[الخصم]])</f>
        <v>45900</v>
      </c>
    </row>
    <row r="217" spans="1:15" x14ac:dyDescent="0.3">
      <c r="A217">
        <v>10216</v>
      </c>
      <c r="B217" t="s">
        <v>13</v>
      </c>
      <c r="C217" s="3">
        <v>46376</v>
      </c>
      <c r="D217" t="s">
        <v>110</v>
      </c>
      <c r="E217" t="s">
        <v>46</v>
      </c>
      <c r="F217" t="s">
        <v>87</v>
      </c>
      <c r="G217" t="s">
        <v>101</v>
      </c>
      <c r="H217">
        <v>5</v>
      </c>
      <c r="I217">
        <v>450</v>
      </c>
      <c r="J217">
        <v>0.05</v>
      </c>
      <c r="K217" t="s">
        <v>33</v>
      </c>
      <c r="L217" t="s">
        <v>34</v>
      </c>
      <c r="M217" t="s">
        <v>237</v>
      </c>
      <c r="N217">
        <f>SalesTable[[#This Row],[الكمية]]*SalesTable[[#This Row],[سعر الوحدة]]</f>
        <v>2250</v>
      </c>
      <c r="O217">
        <f>SalesTable[[#This Row],[الكمية]]*SalesTable[[#This Row],[سعر الوحدة]]*(1-SalesTable[[#This Row],[الخصم]])</f>
        <v>2137.5</v>
      </c>
    </row>
    <row r="218" spans="1:15" x14ac:dyDescent="0.3">
      <c r="A218">
        <v>10217</v>
      </c>
      <c r="B218" t="s">
        <v>21</v>
      </c>
      <c r="C218" s="3">
        <v>46217</v>
      </c>
      <c r="D218" t="s">
        <v>70</v>
      </c>
      <c r="E218" t="s">
        <v>46</v>
      </c>
      <c r="F218" t="s">
        <v>87</v>
      </c>
      <c r="G218" t="s">
        <v>88</v>
      </c>
      <c r="H218">
        <v>2</v>
      </c>
      <c r="I218">
        <v>1800</v>
      </c>
      <c r="J218">
        <v>0.1</v>
      </c>
      <c r="K218" t="s">
        <v>33</v>
      </c>
      <c r="L218" t="s">
        <v>34</v>
      </c>
      <c r="M218" t="s">
        <v>238</v>
      </c>
      <c r="N218">
        <f>SalesTable[[#This Row],[الكمية]]*SalesTable[[#This Row],[سعر الوحدة]]</f>
        <v>3600</v>
      </c>
      <c r="O218">
        <f>SalesTable[[#This Row],[الكمية]]*SalesTable[[#This Row],[سعر الوحدة]]*(1-SalesTable[[#This Row],[الخصم]])</f>
        <v>3240</v>
      </c>
    </row>
    <row r="219" spans="1:15" x14ac:dyDescent="0.3">
      <c r="A219">
        <v>10218</v>
      </c>
      <c r="B219" t="s">
        <v>62</v>
      </c>
      <c r="C219" s="3">
        <v>46358</v>
      </c>
      <c r="D219" t="s">
        <v>110</v>
      </c>
      <c r="E219" t="s">
        <v>46</v>
      </c>
      <c r="F219" t="s">
        <v>24</v>
      </c>
      <c r="G219" t="s">
        <v>57</v>
      </c>
      <c r="H219">
        <v>2</v>
      </c>
      <c r="I219">
        <v>450</v>
      </c>
      <c r="J219">
        <v>0.05</v>
      </c>
      <c r="K219" t="s">
        <v>38</v>
      </c>
      <c r="L219" t="s">
        <v>47</v>
      </c>
      <c r="M219" t="s">
        <v>239</v>
      </c>
      <c r="N219">
        <f>SalesTable[[#This Row],[الكمية]]*SalesTable[[#This Row],[سعر الوحدة]]</f>
        <v>900</v>
      </c>
      <c r="O219">
        <f>SalesTable[[#This Row],[الكمية]]*SalesTable[[#This Row],[سعر الوحدة]]*(1-SalesTable[[#This Row],[الخصم]])</f>
        <v>855</v>
      </c>
    </row>
    <row r="220" spans="1:15" x14ac:dyDescent="0.3">
      <c r="A220">
        <v>10219</v>
      </c>
      <c r="B220" t="s">
        <v>44</v>
      </c>
      <c r="C220" s="3">
        <v>46338</v>
      </c>
      <c r="D220" t="s">
        <v>45</v>
      </c>
      <c r="E220" t="s">
        <v>46</v>
      </c>
      <c r="F220" t="s">
        <v>87</v>
      </c>
      <c r="G220" t="s">
        <v>103</v>
      </c>
      <c r="H220">
        <v>5</v>
      </c>
      <c r="I220">
        <v>1200</v>
      </c>
      <c r="J220">
        <v>0.03</v>
      </c>
      <c r="K220" t="s">
        <v>55</v>
      </c>
      <c r="L220" t="s">
        <v>26</v>
      </c>
      <c r="M220" t="s">
        <v>128</v>
      </c>
      <c r="N220">
        <f>SalesTable[[#This Row],[الكمية]]*SalesTable[[#This Row],[سعر الوحدة]]</f>
        <v>6000</v>
      </c>
      <c r="O220">
        <f>SalesTable[[#This Row],[الكمية]]*SalesTable[[#This Row],[سعر الوحدة]]*(1-SalesTable[[#This Row],[الخصم]])</f>
        <v>5820</v>
      </c>
    </row>
    <row r="221" spans="1:15" x14ac:dyDescent="0.3">
      <c r="A221">
        <v>10220</v>
      </c>
      <c r="B221" t="s">
        <v>44</v>
      </c>
      <c r="C221" s="3">
        <v>46234</v>
      </c>
      <c r="D221" t="s">
        <v>14</v>
      </c>
      <c r="E221" t="s">
        <v>15</v>
      </c>
      <c r="F221" t="s">
        <v>31</v>
      </c>
      <c r="G221" t="s">
        <v>77</v>
      </c>
      <c r="H221">
        <v>4</v>
      </c>
      <c r="I221">
        <v>650</v>
      </c>
      <c r="J221">
        <v>0</v>
      </c>
      <c r="K221" t="s">
        <v>38</v>
      </c>
      <c r="L221" t="s">
        <v>47</v>
      </c>
      <c r="M221" t="s">
        <v>240</v>
      </c>
      <c r="N221">
        <f>SalesTable[[#This Row],[الكمية]]*SalesTable[[#This Row],[سعر الوحدة]]</f>
        <v>2600</v>
      </c>
      <c r="O221">
        <f>SalesTable[[#This Row],[الكمية]]*SalesTable[[#This Row],[سعر الوحدة]]*(1-SalesTable[[#This Row],[الخصم]])</f>
        <v>2600</v>
      </c>
    </row>
    <row r="222" spans="1:15" x14ac:dyDescent="0.3">
      <c r="A222">
        <v>10221</v>
      </c>
      <c r="B222" t="s">
        <v>36</v>
      </c>
      <c r="C222" s="3">
        <v>46357</v>
      </c>
      <c r="D222" t="s">
        <v>14</v>
      </c>
      <c r="E222" t="s">
        <v>15</v>
      </c>
      <c r="F222" t="s">
        <v>64</v>
      </c>
      <c r="G222" t="s">
        <v>71</v>
      </c>
      <c r="H222">
        <v>9</v>
      </c>
      <c r="I222">
        <v>650</v>
      </c>
      <c r="J222">
        <v>0.03</v>
      </c>
      <c r="K222" t="s">
        <v>33</v>
      </c>
      <c r="L222" t="s">
        <v>47</v>
      </c>
      <c r="M222" t="s">
        <v>227</v>
      </c>
      <c r="N222">
        <f>SalesTable[[#This Row],[الكمية]]*SalesTable[[#This Row],[سعر الوحدة]]</f>
        <v>5850</v>
      </c>
      <c r="O222">
        <f>SalesTable[[#This Row],[الكمية]]*SalesTable[[#This Row],[سعر الوحدة]]*(1-SalesTable[[#This Row],[الخصم]])</f>
        <v>5674.5</v>
      </c>
    </row>
    <row r="223" spans="1:15" x14ac:dyDescent="0.3">
      <c r="A223">
        <v>10222</v>
      </c>
      <c r="B223" t="s">
        <v>28</v>
      </c>
      <c r="C223" s="3">
        <v>46068</v>
      </c>
      <c r="D223" t="s">
        <v>40</v>
      </c>
      <c r="E223" t="s">
        <v>41</v>
      </c>
      <c r="F223" t="s">
        <v>87</v>
      </c>
      <c r="G223" t="s">
        <v>88</v>
      </c>
      <c r="H223">
        <v>5</v>
      </c>
      <c r="I223">
        <v>150</v>
      </c>
      <c r="J223">
        <v>0.15</v>
      </c>
      <c r="K223" t="s">
        <v>55</v>
      </c>
      <c r="L223" t="s">
        <v>19</v>
      </c>
      <c r="M223" t="s">
        <v>187</v>
      </c>
      <c r="N223">
        <f>SalesTable[[#This Row],[الكمية]]*SalesTable[[#This Row],[سعر الوحدة]]</f>
        <v>750</v>
      </c>
      <c r="O223">
        <f>SalesTable[[#This Row],[الكمية]]*SalesTable[[#This Row],[سعر الوحدة]]*(1-SalesTable[[#This Row],[الخصم]])</f>
        <v>637.5</v>
      </c>
    </row>
    <row r="224" spans="1:15" x14ac:dyDescent="0.3">
      <c r="A224">
        <v>10223</v>
      </c>
      <c r="B224" t="s">
        <v>112</v>
      </c>
      <c r="C224" s="3">
        <v>46171</v>
      </c>
      <c r="D224" t="s">
        <v>29</v>
      </c>
      <c r="E224" t="s">
        <v>30</v>
      </c>
      <c r="F224" t="s">
        <v>64</v>
      </c>
      <c r="G224" t="s">
        <v>71</v>
      </c>
      <c r="H224">
        <v>7</v>
      </c>
      <c r="I224">
        <v>7500</v>
      </c>
      <c r="J224">
        <v>7.0000000000000007E-2</v>
      </c>
      <c r="K224" t="s">
        <v>18</v>
      </c>
      <c r="L224" t="s">
        <v>19</v>
      </c>
      <c r="M224" t="s">
        <v>231</v>
      </c>
      <c r="N224">
        <f>SalesTable[[#This Row],[الكمية]]*SalesTable[[#This Row],[سعر الوحدة]]</f>
        <v>52500</v>
      </c>
      <c r="O224">
        <f>SalesTable[[#This Row],[الكمية]]*SalesTable[[#This Row],[سعر الوحدة]]*(1-SalesTable[[#This Row],[الخصم]])</f>
        <v>48825</v>
      </c>
    </row>
    <row r="225" spans="1:15" x14ac:dyDescent="0.3">
      <c r="A225">
        <v>10224</v>
      </c>
      <c r="B225" t="s">
        <v>21</v>
      </c>
      <c r="C225" s="3">
        <v>46291</v>
      </c>
      <c r="D225" t="s">
        <v>95</v>
      </c>
      <c r="E225" t="s">
        <v>15</v>
      </c>
      <c r="F225" t="s">
        <v>16</v>
      </c>
      <c r="G225" t="s">
        <v>79</v>
      </c>
      <c r="H225">
        <v>5</v>
      </c>
      <c r="I225">
        <v>5200</v>
      </c>
      <c r="J225">
        <v>7.0000000000000007E-2</v>
      </c>
      <c r="K225" t="s">
        <v>33</v>
      </c>
      <c r="L225" t="s">
        <v>26</v>
      </c>
      <c r="M225" t="s">
        <v>129</v>
      </c>
      <c r="N225">
        <f>SalesTable[[#This Row],[الكمية]]*SalesTable[[#This Row],[سعر الوحدة]]</f>
        <v>26000</v>
      </c>
      <c r="O225">
        <f>SalesTable[[#This Row],[الكمية]]*SalesTable[[#This Row],[سعر الوحدة]]*(1-SalesTable[[#This Row],[الخصم]])</f>
        <v>24180</v>
      </c>
    </row>
    <row r="226" spans="1:15" x14ac:dyDescent="0.3">
      <c r="A226">
        <v>10225</v>
      </c>
      <c r="B226" t="s">
        <v>112</v>
      </c>
      <c r="C226" s="3">
        <v>46257</v>
      </c>
      <c r="D226" t="s">
        <v>48</v>
      </c>
      <c r="E226" t="s">
        <v>30</v>
      </c>
      <c r="F226" t="s">
        <v>87</v>
      </c>
      <c r="G226" t="s">
        <v>101</v>
      </c>
      <c r="H226">
        <v>2</v>
      </c>
      <c r="I226">
        <v>9000</v>
      </c>
      <c r="J226">
        <v>0.05</v>
      </c>
      <c r="K226" t="s">
        <v>38</v>
      </c>
      <c r="L226" t="s">
        <v>26</v>
      </c>
      <c r="M226" t="s">
        <v>241</v>
      </c>
      <c r="N226">
        <f>SalesTable[[#This Row],[الكمية]]*SalesTable[[#This Row],[سعر الوحدة]]</f>
        <v>18000</v>
      </c>
      <c r="O226">
        <f>SalesTable[[#This Row],[الكمية]]*SalesTable[[#This Row],[سعر الوحدة]]*(1-SalesTable[[#This Row],[الخصم]])</f>
        <v>17100</v>
      </c>
    </row>
    <row r="227" spans="1:15" x14ac:dyDescent="0.3">
      <c r="A227">
        <v>10226</v>
      </c>
      <c r="B227" t="s">
        <v>13</v>
      </c>
      <c r="C227" s="3">
        <v>46112</v>
      </c>
      <c r="D227" t="s">
        <v>81</v>
      </c>
      <c r="E227" t="s">
        <v>41</v>
      </c>
      <c r="F227" t="s">
        <v>49</v>
      </c>
      <c r="G227" t="s">
        <v>98</v>
      </c>
      <c r="H227">
        <v>10</v>
      </c>
      <c r="I227">
        <v>2200</v>
      </c>
      <c r="J227">
        <v>0.15</v>
      </c>
      <c r="K227" t="s">
        <v>33</v>
      </c>
      <c r="L227" t="s">
        <v>47</v>
      </c>
      <c r="M227" t="s">
        <v>126</v>
      </c>
      <c r="N227">
        <f>SalesTable[[#This Row],[الكمية]]*SalesTable[[#This Row],[سعر الوحدة]]</f>
        <v>22000</v>
      </c>
      <c r="O227">
        <f>SalesTable[[#This Row],[الكمية]]*SalesTable[[#This Row],[سعر الوحدة]]*(1-SalesTable[[#This Row],[الخصم]])</f>
        <v>18700</v>
      </c>
    </row>
    <row r="228" spans="1:15" x14ac:dyDescent="0.3">
      <c r="A228">
        <v>10227</v>
      </c>
      <c r="B228" t="s">
        <v>112</v>
      </c>
      <c r="C228" s="3">
        <v>46267</v>
      </c>
      <c r="D228" t="s">
        <v>70</v>
      </c>
      <c r="E228" t="s">
        <v>46</v>
      </c>
      <c r="F228" t="s">
        <v>16</v>
      </c>
      <c r="G228" t="s">
        <v>189</v>
      </c>
      <c r="H228">
        <v>2</v>
      </c>
      <c r="I228">
        <v>1800</v>
      </c>
      <c r="J228">
        <v>0.03</v>
      </c>
      <c r="K228" t="s">
        <v>38</v>
      </c>
      <c r="L228" t="s">
        <v>26</v>
      </c>
      <c r="M228" t="s">
        <v>242</v>
      </c>
      <c r="N228">
        <f>SalesTable[[#This Row],[الكمية]]*SalesTable[[#This Row],[سعر الوحدة]]</f>
        <v>3600</v>
      </c>
      <c r="O228">
        <f>SalesTable[[#This Row],[الكمية]]*SalesTable[[#This Row],[سعر الوحدة]]*(1-SalesTable[[#This Row],[الخصم]])</f>
        <v>3492</v>
      </c>
    </row>
    <row r="229" spans="1:15" x14ac:dyDescent="0.3">
      <c r="A229">
        <v>10228</v>
      </c>
      <c r="B229" t="s">
        <v>67</v>
      </c>
      <c r="C229" s="3">
        <v>46177</v>
      </c>
      <c r="D229" t="s">
        <v>110</v>
      </c>
      <c r="E229" t="s">
        <v>46</v>
      </c>
      <c r="F229" t="s">
        <v>84</v>
      </c>
      <c r="G229" t="s">
        <v>120</v>
      </c>
      <c r="H229">
        <v>8</v>
      </c>
      <c r="I229">
        <v>450</v>
      </c>
      <c r="J229">
        <v>0.05</v>
      </c>
      <c r="K229" t="s">
        <v>18</v>
      </c>
      <c r="L229" t="s">
        <v>34</v>
      </c>
      <c r="M229" t="s">
        <v>243</v>
      </c>
      <c r="N229">
        <f>SalesTable[[#This Row],[الكمية]]*SalesTable[[#This Row],[سعر الوحدة]]</f>
        <v>3600</v>
      </c>
      <c r="O229">
        <f>SalesTable[[#This Row],[الكمية]]*SalesTable[[#This Row],[سعر الوحدة]]*(1-SalesTable[[#This Row],[الخصم]])</f>
        <v>3420</v>
      </c>
    </row>
    <row r="230" spans="1:15" x14ac:dyDescent="0.3">
      <c r="A230">
        <v>10229</v>
      </c>
      <c r="B230" t="s">
        <v>52</v>
      </c>
      <c r="C230" s="3">
        <v>46104</v>
      </c>
      <c r="D230" t="s">
        <v>81</v>
      </c>
      <c r="E230" t="s">
        <v>41</v>
      </c>
      <c r="F230" t="s">
        <v>31</v>
      </c>
      <c r="G230" t="s">
        <v>54</v>
      </c>
      <c r="H230">
        <v>2</v>
      </c>
      <c r="I230">
        <v>2200</v>
      </c>
      <c r="J230">
        <v>7.0000000000000007E-2</v>
      </c>
      <c r="K230" t="s">
        <v>33</v>
      </c>
      <c r="L230" t="s">
        <v>34</v>
      </c>
      <c r="M230" t="s">
        <v>151</v>
      </c>
      <c r="N230">
        <f>SalesTable[[#This Row],[الكمية]]*SalesTable[[#This Row],[سعر الوحدة]]</f>
        <v>4400</v>
      </c>
      <c r="O230">
        <f>SalesTable[[#This Row],[الكمية]]*SalesTable[[#This Row],[سعر الوحدة]]*(1-SalesTable[[#This Row],[الخصم]])</f>
        <v>4091.9999999999995</v>
      </c>
    </row>
    <row r="231" spans="1:15" x14ac:dyDescent="0.3">
      <c r="A231">
        <v>10230</v>
      </c>
      <c r="B231" t="s">
        <v>13</v>
      </c>
      <c r="C231" s="3">
        <v>46091</v>
      </c>
      <c r="D231" t="s">
        <v>14</v>
      </c>
      <c r="E231" t="s">
        <v>15</v>
      </c>
      <c r="F231" t="s">
        <v>87</v>
      </c>
      <c r="G231" t="s">
        <v>88</v>
      </c>
      <c r="H231">
        <v>10</v>
      </c>
      <c r="I231">
        <v>650</v>
      </c>
      <c r="J231">
        <v>0.03</v>
      </c>
      <c r="K231" t="s">
        <v>33</v>
      </c>
      <c r="L231" t="s">
        <v>26</v>
      </c>
      <c r="M231" t="s">
        <v>146</v>
      </c>
      <c r="N231">
        <f>SalesTable[[#This Row],[الكمية]]*SalesTable[[#This Row],[سعر الوحدة]]</f>
        <v>6500</v>
      </c>
      <c r="O231">
        <f>SalesTable[[#This Row],[الكمية]]*SalesTable[[#This Row],[سعر الوحدة]]*(1-SalesTable[[#This Row],[الخصم]])</f>
        <v>6305</v>
      </c>
    </row>
    <row r="232" spans="1:15" x14ac:dyDescent="0.3">
      <c r="A232">
        <v>10231</v>
      </c>
      <c r="B232" t="s">
        <v>21</v>
      </c>
      <c r="C232" s="3">
        <v>46363</v>
      </c>
      <c r="D232" t="s">
        <v>81</v>
      </c>
      <c r="E232" t="s">
        <v>41</v>
      </c>
      <c r="F232" t="s">
        <v>49</v>
      </c>
      <c r="G232" t="s">
        <v>98</v>
      </c>
      <c r="H232">
        <v>9</v>
      </c>
      <c r="I232">
        <v>2200</v>
      </c>
      <c r="J232">
        <v>7.0000000000000007E-2</v>
      </c>
      <c r="K232" t="s">
        <v>55</v>
      </c>
      <c r="L232" t="s">
        <v>26</v>
      </c>
      <c r="M232" t="s">
        <v>157</v>
      </c>
      <c r="N232">
        <f>SalesTable[[#This Row],[الكمية]]*SalesTable[[#This Row],[سعر الوحدة]]</f>
        <v>19800</v>
      </c>
      <c r="O232">
        <f>SalesTable[[#This Row],[الكمية]]*SalesTable[[#This Row],[سعر الوحدة]]*(1-SalesTable[[#This Row],[الخصم]])</f>
        <v>18414</v>
      </c>
    </row>
    <row r="233" spans="1:15" x14ac:dyDescent="0.3">
      <c r="A233">
        <v>10232</v>
      </c>
      <c r="B233" t="s">
        <v>94</v>
      </c>
      <c r="C233" s="3">
        <v>46080</v>
      </c>
      <c r="D233" t="s">
        <v>53</v>
      </c>
      <c r="E233" t="s">
        <v>15</v>
      </c>
      <c r="F233" t="s">
        <v>59</v>
      </c>
      <c r="G233" t="s">
        <v>75</v>
      </c>
      <c r="H233">
        <v>6</v>
      </c>
      <c r="I233">
        <v>3200</v>
      </c>
      <c r="J233">
        <v>0</v>
      </c>
      <c r="K233" t="s">
        <v>18</v>
      </c>
      <c r="L233" t="s">
        <v>26</v>
      </c>
      <c r="M233" t="s">
        <v>244</v>
      </c>
      <c r="N233">
        <f>SalesTable[[#This Row],[الكمية]]*SalesTable[[#This Row],[سعر الوحدة]]</f>
        <v>19200</v>
      </c>
      <c r="O233">
        <f>SalesTable[[#This Row],[الكمية]]*SalesTable[[#This Row],[سعر الوحدة]]*(1-SalesTable[[#This Row],[الخصم]])</f>
        <v>19200</v>
      </c>
    </row>
    <row r="234" spans="1:15" x14ac:dyDescent="0.3">
      <c r="A234">
        <v>10233</v>
      </c>
      <c r="B234" t="s">
        <v>62</v>
      </c>
      <c r="C234" s="3">
        <v>46082</v>
      </c>
      <c r="D234" t="s">
        <v>53</v>
      </c>
      <c r="E234" t="s">
        <v>15</v>
      </c>
      <c r="F234" t="s">
        <v>64</v>
      </c>
      <c r="G234" t="s">
        <v>184</v>
      </c>
      <c r="H234">
        <v>6</v>
      </c>
      <c r="I234">
        <v>3200</v>
      </c>
      <c r="J234">
        <v>0.1</v>
      </c>
      <c r="K234" t="s">
        <v>55</v>
      </c>
      <c r="L234" t="s">
        <v>47</v>
      </c>
      <c r="M234" t="s">
        <v>207</v>
      </c>
      <c r="N234">
        <f>SalesTable[[#This Row],[الكمية]]*SalesTable[[#This Row],[سعر الوحدة]]</f>
        <v>19200</v>
      </c>
      <c r="O234">
        <f>SalesTable[[#This Row],[الكمية]]*SalesTable[[#This Row],[سعر الوحدة]]*(1-SalesTable[[#This Row],[الخصم]])</f>
        <v>17280</v>
      </c>
    </row>
    <row r="235" spans="1:15" x14ac:dyDescent="0.3">
      <c r="A235">
        <v>10234</v>
      </c>
      <c r="B235" t="s">
        <v>21</v>
      </c>
      <c r="C235" s="3">
        <v>46235</v>
      </c>
      <c r="D235" t="s">
        <v>90</v>
      </c>
      <c r="E235" t="s">
        <v>91</v>
      </c>
      <c r="F235" t="s">
        <v>59</v>
      </c>
      <c r="G235" t="s">
        <v>60</v>
      </c>
      <c r="H235">
        <v>8</v>
      </c>
      <c r="I235">
        <v>6500</v>
      </c>
      <c r="J235">
        <v>0.03</v>
      </c>
      <c r="K235" t="s">
        <v>33</v>
      </c>
      <c r="L235" t="s">
        <v>19</v>
      </c>
      <c r="M235" t="s">
        <v>111</v>
      </c>
      <c r="N235">
        <f>SalesTable[[#This Row],[الكمية]]*SalesTable[[#This Row],[سعر الوحدة]]</f>
        <v>52000</v>
      </c>
      <c r="O235">
        <f>SalesTable[[#This Row],[الكمية]]*SalesTable[[#This Row],[سعر الوحدة]]*(1-SalesTable[[#This Row],[الخصم]])</f>
        <v>50440</v>
      </c>
    </row>
    <row r="236" spans="1:15" x14ac:dyDescent="0.3">
      <c r="A236">
        <v>10235</v>
      </c>
      <c r="B236" t="s">
        <v>52</v>
      </c>
      <c r="C236" s="3">
        <v>46024</v>
      </c>
      <c r="D236" t="s">
        <v>48</v>
      </c>
      <c r="E236" t="s">
        <v>30</v>
      </c>
      <c r="F236" t="s">
        <v>87</v>
      </c>
      <c r="G236" t="s">
        <v>103</v>
      </c>
      <c r="H236">
        <v>1</v>
      </c>
      <c r="I236">
        <v>9000</v>
      </c>
      <c r="J236">
        <v>7.0000000000000007E-2</v>
      </c>
      <c r="K236" t="s">
        <v>55</v>
      </c>
      <c r="L236" t="s">
        <v>19</v>
      </c>
      <c r="M236" t="s">
        <v>198</v>
      </c>
      <c r="N236">
        <f>SalesTable[[#This Row],[الكمية]]*SalesTable[[#This Row],[سعر الوحدة]]</f>
        <v>9000</v>
      </c>
      <c r="O236">
        <f>SalesTable[[#This Row],[الكمية]]*SalesTable[[#This Row],[سعر الوحدة]]*(1-SalesTable[[#This Row],[الخصم]])</f>
        <v>8370</v>
      </c>
    </row>
    <row r="237" spans="1:15" x14ac:dyDescent="0.3">
      <c r="A237">
        <v>10236</v>
      </c>
      <c r="B237" t="s">
        <v>28</v>
      </c>
      <c r="C237" s="3">
        <v>46058</v>
      </c>
      <c r="D237" t="s">
        <v>29</v>
      </c>
      <c r="E237" t="s">
        <v>30</v>
      </c>
      <c r="F237" t="s">
        <v>49</v>
      </c>
      <c r="G237" t="s">
        <v>122</v>
      </c>
      <c r="H237">
        <v>2</v>
      </c>
      <c r="I237">
        <v>7500</v>
      </c>
      <c r="J237">
        <v>0.1</v>
      </c>
      <c r="K237" t="s">
        <v>33</v>
      </c>
      <c r="L237" t="s">
        <v>19</v>
      </c>
      <c r="M237" t="s">
        <v>245</v>
      </c>
      <c r="N237">
        <f>SalesTable[[#This Row],[الكمية]]*SalesTable[[#This Row],[سعر الوحدة]]</f>
        <v>15000</v>
      </c>
      <c r="O237">
        <f>SalesTable[[#This Row],[الكمية]]*SalesTable[[#This Row],[سعر الوحدة]]*(1-SalesTable[[#This Row],[الخصم]])</f>
        <v>13500</v>
      </c>
    </row>
    <row r="238" spans="1:15" x14ac:dyDescent="0.3">
      <c r="A238">
        <v>10237</v>
      </c>
      <c r="B238" t="s">
        <v>36</v>
      </c>
      <c r="C238" s="3">
        <v>46252</v>
      </c>
      <c r="D238" t="s">
        <v>29</v>
      </c>
      <c r="E238" t="s">
        <v>30</v>
      </c>
      <c r="F238" t="s">
        <v>64</v>
      </c>
      <c r="G238" t="s">
        <v>184</v>
      </c>
      <c r="H238">
        <v>7</v>
      </c>
      <c r="I238">
        <v>7500</v>
      </c>
      <c r="J238">
        <v>0.05</v>
      </c>
      <c r="K238" t="s">
        <v>33</v>
      </c>
      <c r="L238" t="s">
        <v>47</v>
      </c>
      <c r="M238" t="s">
        <v>157</v>
      </c>
      <c r="N238">
        <f>SalesTable[[#This Row],[الكمية]]*SalesTable[[#This Row],[سعر الوحدة]]</f>
        <v>52500</v>
      </c>
      <c r="O238">
        <f>SalesTable[[#This Row],[الكمية]]*SalesTable[[#This Row],[سعر الوحدة]]*(1-SalesTable[[#This Row],[الخصم]])</f>
        <v>49875</v>
      </c>
    </row>
    <row r="239" spans="1:15" x14ac:dyDescent="0.3">
      <c r="A239">
        <v>10238</v>
      </c>
      <c r="B239" t="s">
        <v>21</v>
      </c>
      <c r="C239" s="3">
        <v>46224</v>
      </c>
      <c r="D239" t="s">
        <v>14</v>
      </c>
      <c r="E239" t="s">
        <v>15</v>
      </c>
      <c r="F239" t="s">
        <v>64</v>
      </c>
      <c r="G239" t="s">
        <v>107</v>
      </c>
      <c r="H239">
        <v>2</v>
      </c>
      <c r="I239">
        <v>650</v>
      </c>
      <c r="J239">
        <v>0.03</v>
      </c>
      <c r="K239" t="s">
        <v>55</v>
      </c>
      <c r="L239" t="s">
        <v>26</v>
      </c>
      <c r="M239" t="s">
        <v>246</v>
      </c>
      <c r="N239">
        <f>SalesTable[[#This Row],[الكمية]]*SalesTable[[#This Row],[سعر الوحدة]]</f>
        <v>1300</v>
      </c>
      <c r="O239">
        <f>SalesTable[[#This Row],[الكمية]]*SalesTable[[#This Row],[سعر الوحدة]]*(1-SalesTable[[#This Row],[الخصم]])</f>
        <v>1261</v>
      </c>
    </row>
    <row r="240" spans="1:15" x14ac:dyDescent="0.3">
      <c r="A240">
        <v>10239</v>
      </c>
      <c r="B240" t="s">
        <v>21</v>
      </c>
      <c r="C240" s="3">
        <v>46240</v>
      </c>
      <c r="D240" t="s">
        <v>40</v>
      </c>
      <c r="E240" t="s">
        <v>41</v>
      </c>
      <c r="F240" t="s">
        <v>24</v>
      </c>
      <c r="G240" t="s">
        <v>57</v>
      </c>
      <c r="H240">
        <v>8</v>
      </c>
      <c r="I240">
        <v>150</v>
      </c>
      <c r="J240">
        <v>0.15</v>
      </c>
      <c r="K240" t="s">
        <v>33</v>
      </c>
      <c r="L240" t="s">
        <v>26</v>
      </c>
      <c r="M240" t="s">
        <v>78</v>
      </c>
      <c r="N240">
        <f>SalesTable[[#This Row],[الكمية]]*SalesTable[[#This Row],[سعر الوحدة]]</f>
        <v>1200</v>
      </c>
      <c r="O240">
        <f>SalesTable[[#This Row],[الكمية]]*SalesTable[[#This Row],[سعر الوحدة]]*(1-SalesTable[[#This Row],[الخصم]])</f>
        <v>1020</v>
      </c>
    </row>
    <row r="241" spans="1:15" x14ac:dyDescent="0.3">
      <c r="A241">
        <v>10240</v>
      </c>
      <c r="B241" t="s">
        <v>44</v>
      </c>
      <c r="C241" s="3">
        <v>46039</v>
      </c>
      <c r="D241" t="s">
        <v>48</v>
      </c>
      <c r="E241" t="s">
        <v>30</v>
      </c>
      <c r="F241" t="s">
        <v>49</v>
      </c>
      <c r="G241" t="s">
        <v>50</v>
      </c>
      <c r="H241">
        <v>5</v>
      </c>
      <c r="I241">
        <v>9000</v>
      </c>
      <c r="J241">
        <v>0.03</v>
      </c>
      <c r="K241" t="s">
        <v>33</v>
      </c>
      <c r="L241" t="s">
        <v>19</v>
      </c>
      <c r="M241" t="s">
        <v>247</v>
      </c>
      <c r="N241">
        <f>SalesTable[[#This Row],[الكمية]]*SalesTable[[#This Row],[سعر الوحدة]]</f>
        <v>45000</v>
      </c>
      <c r="O241">
        <f>SalesTable[[#This Row],[الكمية]]*SalesTable[[#This Row],[سعر الوحدة]]*(1-SalesTable[[#This Row],[الخصم]])</f>
        <v>43650</v>
      </c>
    </row>
    <row r="242" spans="1:15" x14ac:dyDescent="0.3">
      <c r="A242">
        <v>10241</v>
      </c>
      <c r="B242" t="s">
        <v>62</v>
      </c>
      <c r="C242" s="3">
        <v>46329</v>
      </c>
      <c r="D242" t="s">
        <v>45</v>
      </c>
      <c r="E242" t="s">
        <v>46</v>
      </c>
      <c r="F242" t="s">
        <v>16</v>
      </c>
      <c r="G242" t="s">
        <v>17</v>
      </c>
      <c r="H242">
        <v>10</v>
      </c>
      <c r="I242">
        <v>1200</v>
      </c>
      <c r="J242">
        <v>0</v>
      </c>
      <c r="K242" t="s">
        <v>18</v>
      </c>
      <c r="L242" t="s">
        <v>26</v>
      </c>
      <c r="M242" t="s">
        <v>119</v>
      </c>
      <c r="N242">
        <f>SalesTable[[#This Row],[الكمية]]*SalesTable[[#This Row],[سعر الوحدة]]</f>
        <v>12000</v>
      </c>
      <c r="O242">
        <f>SalesTable[[#This Row],[الكمية]]*SalesTable[[#This Row],[سعر الوحدة]]*(1-SalesTable[[#This Row],[الخصم]])</f>
        <v>12000</v>
      </c>
    </row>
    <row r="243" spans="1:15" x14ac:dyDescent="0.3">
      <c r="A243">
        <v>10242</v>
      </c>
      <c r="B243" t="s">
        <v>28</v>
      </c>
      <c r="C243" s="3">
        <v>46094</v>
      </c>
      <c r="D243" t="s">
        <v>29</v>
      </c>
      <c r="E243" t="s">
        <v>30</v>
      </c>
      <c r="F243" t="s">
        <v>59</v>
      </c>
      <c r="G243" t="s">
        <v>60</v>
      </c>
      <c r="H243">
        <v>9</v>
      </c>
      <c r="I243">
        <v>7500</v>
      </c>
      <c r="J243">
        <v>0.03</v>
      </c>
      <c r="K243" t="s">
        <v>38</v>
      </c>
      <c r="L243" t="s">
        <v>26</v>
      </c>
      <c r="M243" t="s">
        <v>158</v>
      </c>
      <c r="N243">
        <f>SalesTable[[#This Row],[الكمية]]*SalesTable[[#This Row],[سعر الوحدة]]</f>
        <v>67500</v>
      </c>
      <c r="O243">
        <f>SalesTable[[#This Row],[الكمية]]*SalesTable[[#This Row],[سعر الوحدة]]*(1-SalesTable[[#This Row],[الخصم]])</f>
        <v>65475</v>
      </c>
    </row>
    <row r="244" spans="1:15" x14ac:dyDescent="0.3">
      <c r="A244">
        <v>10243</v>
      </c>
      <c r="B244" t="s">
        <v>21</v>
      </c>
      <c r="C244" s="3">
        <v>46136</v>
      </c>
      <c r="D244" t="s">
        <v>70</v>
      </c>
      <c r="E244" t="s">
        <v>46</v>
      </c>
      <c r="F244" t="s">
        <v>49</v>
      </c>
      <c r="G244" t="s">
        <v>50</v>
      </c>
      <c r="H244">
        <v>5</v>
      </c>
      <c r="I244">
        <v>1800</v>
      </c>
      <c r="J244">
        <v>0.03</v>
      </c>
      <c r="K244" t="s">
        <v>33</v>
      </c>
      <c r="L244" t="s">
        <v>34</v>
      </c>
      <c r="M244" t="s">
        <v>224</v>
      </c>
      <c r="N244">
        <f>SalesTable[[#This Row],[الكمية]]*SalesTable[[#This Row],[سعر الوحدة]]</f>
        <v>9000</v>
      </c>
      <c r="O244">
        <f>SalesTable[[#This Row],[الكمية]]*SalesTable[[#This Row],[سعر الوحدة]]*(1-SalesTable[[#This Row],[الخصم]])</f>
        <v>8730</v>
      </c>
    </row>
    <row r="245" spans="1:15" x14ac:dyDescent="0.3">
      <c r="A245">
        <v>10244</v>
      </c>
      <c r="B245" t="s">
        <v>28</v>
      </c>
      <c r="C245" s="3">
        <v>46199</v>
      </c>
      <c r="D245" t="s">
        <v>22</v>
      </c>
      <c r="E245" t="s">
        <v>23</v>
      </c>
      <c r="F245" t="s">
        <v>64</v>
      </c>
      <c r="G245" t="s">
        <v>65</v>
      </c>
      <c r="H245">
        <v>9</v>
      </c>
      <c r="I245">
        <v>25000</v>
      </c>
      <c r="J245">
        <v>7.0000000000000007E-2</v>
      </c>
      <c r="K245" t="s">
        <v>33</v>
      </c>
      <c r="L245" t="s">
        <v>34</v>
      </c>
      <c r="M245" t="s">
        <v>248</v>
      </c>
      <c r="N245">
        <f>SalesTable[[#This Row],[الكمية]]*SalesTable[[#This Row],[سعر الوحدة]]</f>
        <v>225000</v>
      </c>
      <c r="O245">
        <f>SalesTable[[#This Row],[الكمية]]*SalesTable[[#This Row],[سعر الوحدة]]*(1-SalesTable[[#This Row],[الخصم]])</f>
        <v>209250</v>
      </c>
    </row>
    <row r="246" spans="1:15" x14ac:dyDescent="0.3">
      <c r="A246">
        <v>10245</v>
      </c>
      <c r="B246" t="s">
        <v>21</v>
      </c>
      <c r="C246" s="3">
        <v>46265</v>
      </c>
      <c r="D246" t="s">
        <v>29</v>
      </c>
      <c r="E246" t="s">
        <v>30</v>
      </c>
      <c r="F246" t="s">
        <v>64</v>
      </c>
      <c r="G246" t="s">
        <v>107</v>
      </c>
      <c r="H246">
        <v>7</v>
      </c>
      <c r="I246">
        <v>7500</v>
      </c>
      <c r="J246">
        <v>0.03</v>
      </c>
      <c r="K246" t="s">
        <v>55</v>
      </c>
      <c r="L246" t="s">
        <v>26</v>
      </c>
      <c r="M246" t="s">
        <v>249</v>
      </c>
      <c r="N246">
        <f>SalesTable[[#This Row],[الكمية]]*SalesTable[[#This Row],[سعر الوحدة]]</f>
        <v>52500</v>
      </c>
      <c r="O246">
        <f>SalesTable[[#This Row],[الكمية]]*SalesTable[[#This Row],[سعر الوحدة]]*(1-SalesTable[[#This Row],[الخصم]])</f>
        <v>50925</v>
      </c>
    </row>
    <row r="247" spans="1:15" x14ac:dyDescent="0.3">
      <c r="A247">
        <v>10246</v>
      </c>
      <c r="B247" t="s">
        <v>36</v>
      </c>
      <c r="C247" s="3">
        <v>46236</v>
      </c>
      <c r="D247" t="s">
        <v>68</v>
      </c>
      <c r="E247" t="s">
        <v>46</v>
      </c>
      <c r="F247" t="s">
        <v>64</v>
      </c>
      <c r="G247" t="s">
        <v>65</v>
      </c>
      <c r="H247">
        <v>1</v>
      </c>
      <c r="I247">
        <v>1400</v>
      </c>
      <c r="J247">
        <v>0.1</v>
      </c>
      <c r="K247" t="s">
        <v>55</v>
      </c>
      <c r="L247" t="s">
        <v>47</v>
      </c>
      <c r="M247" t="s">
        <v>139</v>
      </c>
      <c r="N247">
        <f>SalesTable[[#This Row],[الكمية]]*SalesTable[[#This Row],[سعر الوحدة]]</f>
        <v>1400</v>
      </c>
      <c r="O247">
        <f>SalesTable[[#This Row],[الكمية]]*SalesTable[[#This Row],[سعر الوحدة]]*(1-SalesTable[[#This Row],[الخصم]])</f>
        <v>1260</v>
      </c>
    </row>
    <row r="248" spans="1:15" x14ac:dyDescent="0.3">
      <c r="A248">
        <v>10247</v>
      </c>
      <c r="B248" t="s">
        <v>67</v>
      </c>
      <c r="C248" s="3">
        <v>46070</v>
      </c>
      <c r="D248" t="s">
        <v>110</v>
      </c>
      <c r="E248" t="s">
        <v>46</v>
      </c>
      <c r="F248" t="s">
        <v>31</v>
      </c>
      <c r="G248" t="s">
        <v>32</v>
      </c>
      <c r="H248">
        <v>2</v>
      </c>
      <c r="I248">
        <v>450</v>
      </c>
      <c r="J248">
        <v>7.0000000000000007E-2</v>
      </c>
      <c r="K248" t="s">
        <v>55</v>
      </c>
      <c r="L248" t="s">
        <v>19</v>
      </c>
      <c r="M248" t="s">
        <v>250</v>
      </c>
      <c r="N248">
        <f>SalesTable[[#This Row],[الكمية]]*SalesTable[[#This Row],[سعر الوحدة]]</f>
        <v>900</v>
      </c>
      <c r="O248">
        <f>SalesTable[[#This Row],[الكمية]]*SalesTable[[#This Row],[سعر الوحدة]]*(1-SalesTable[[#This Row],[الخصم]])</f>
        <v>837</v>
      </c>
    </row>
    <row r="249" spans="1:15" x14ac:dyDescent="0.3">
      <c r="A249">
        <v>10248</v>
      </c>
      <c r="B249" t="s">
        <v>21</v>
      </c>
      <c r="C249" s="3">
        <v>46134</v>
      </c>
      <c r="D249" t="s">
        <v>29</v>
      </c>
      <c r="E249" t="s">
        <v>30</v>
      </c>
      <c r="F249" t="s">
        <v>24</v>
      </c>
      <c r="G249" t="s">
        <v>25</v>
      </c>
      <c r="H249">
        <v>4</v>
      </c>
      <c r="I249">
        <v>7500</v>
      </c>
      <c r="J249">
        <v>0.1</v>
      </c>
      <c r="K249" t="s">
        <v>33</v>
      </c>
      <c r="L249" t="s">
        <v>26</v>
      </c>
      <c r="M249" t="s">
        <v>106</v>
      </c>
      <c r="N249">
        <f>SalesTable[[#This Row],[الكمية]]*SalesTable[[#This Row],[سعر الوحدة]]</f>
        <v>30000</v>
      </c>
      <c r="O249">
        <f>SalesTable[[#This Row],[الكمية]]*SalesTable[[#This Row],[سعر الوحدة]]*(1-SalesTable[[#This Row],[الخصم]])</f>
        <v>27000</v>
      </c>
    </row>
    <row r="250" spans="1:15" x14ac:dyDescent="0.3">
      <c r="A250">
        <v>10249</v>
      </c>
      <c r="B250" t="s">
        <v>44</v>
      </c>
      <c r="C250" s="3">
        <v>46268</v>
      </c>
      <c r="D250" t="s">
        <v>110</v>
      </c>
      <c r="E250" t="s">
        <v>46</v>
      </c>
      <c r="F250" t="s">
        <v>24</v>
      </c>
      <c r="G250" t="s">
        <v>73</v>
      </c>
      <c r="H250">
        <v>4</v>
      </c>
      <c r="I250">
        <v>450</v>
      </c>
      <c r="J250">
        <v>0.15</v>
      </c>
      <c r="K250" t="s">
        <v>55</v>
      </c>
      <c r="L250" t="s">
        <v>26</v>
      </c>
      <c r="M250" t="s">
        <v>181</v>
      </c>
      <c r="N250">
        <f>SalesTable[[#This Row],[الكمية]]*SalesTable[[#This Row],[سعر الوحدة]]</f>
        <v>1800</v>
      </c>
      <c r="O250">
        <f>SalesTable[[#This Row],[الكمية]]*SalesTable[[#This Row],[سعر الوحدة]]*(1-SalesTable[[#This Row],[الخصم]])</f>
        <v>1530</v>
      </c>
    </row>
    <row r="251" spans="1:15" x14ac:dyDescent="0.3">
      <c r="A251">
        <v>10250</v>
      </c>
      <c r="B251" t="s">
        <v>36</v>
      </c>
      <c r="C251" s="3">
        <v>46261</v>
      </c>
      <c r="D251" t="s">
        <v>90</v>
      </c>
      <c r="E251" t="s">
        <v>91</v>
      </c>
      <c r="F251" t="s">
        <v>31</v>
      </c>
      <c r="G251" t="s">
        <v>77</v>
      </c>
      <c r="H251">
        <v>6</v>
      </c>
      <c r="I251">
        <v>6500</v>
      </c>
      <c r="J251">
        <v>0.05</v>
      </c>
      <c r="K251" t="s">
        <v>38</v>
      </c>
      <c r="L251" t="s">
        <v>34</v>
      </c>
      <c r="M251" t="s">
        <v>251</v>
      </c>
      <c r="N251">
        <f>SalesTable[[#This Row],[الكمية]]*SalesTable[[#This Row],[سعر الوحدة]]</f>
        <v>39000</v>
      </c>
      <c r="O251">
        <f>SalesTable[[#This Row],[الكمية]]*SalesTable[[#This Row],[سعر الوحدة]]*(1-SalesTable[[#This Row],[الخصم]])</f>
        <v>37050</v>
      </c>
    </row>
    <row r="252" spans="1:15" x14ac:dyDescent="0.3">
      <c r="A252">
        <v>10251</v>
      </c>
      <c r="B252" t="s">
        <v>62</v>
      </c>
      <c r="C252" s="3">
        <v>46186</v>
      </c>
      <c r="D252" t="s">
        <v>70</v>
      </c>
      <c r="E252" t="s">
        <v>46</v>
      </c>
      <c r="F252" t="s">
        <v>59</v>
      </c>
      <c r="G252" t="s">
        <v>105</v>
      </c>
      <c r="H252">
        <v>2</v>
      </c>
      <c r="I252">
        <v>1800</v>
      </c>
      <c r="J252">
        <v>0.15</v>
      </c>
      <c r="K252" t="s">
        <v>55</v>
      </c>
      <c r="L252" t="s">
        <v>34</v>
      </c>
      <c r="M252" t="s">
        <v>252</v>
      </c>
      <c r="N252">
        <f>SalesTable[[#This Row],[الكمية]]*SalesTable[[#This Row],[سعر الوحدة]]</f>
        <v>3600</v>
      </c>
      <c r="O252">
        <f>SalesTable[[#This Row],[الكمية]]*SalesTable[[#This Row],[سعر الوحدة]]*(1-SalesTable[[#This Row],[الخصم]])</f>
        <v>3060</v>
      </c>
    </row>
    <row r="253" spans="1:15" x14ac:dyDescent="0.3">
      <c r="A253">
        <v>10252</v>
      </c>
      <c r="B253" t="s">
        <v>52</v>
      </c>
      <c r="C253" s="3">
        <v>46306</v>
      </c>
      <c r="D253" t="s">
        <v>29</v>
      </c>
      <c r="E253" t="s">
        <v>30</v>
      </c>
      <c r="F253" t="s">
        <v>24</v>
      </c>
      <c r="G253" t="s">
        <v>73</v>
      </c>
      <c r="H253">
        <v>3</v>
      </c>
      <c r="I253">
        <v>7500</v>
      </c>
      <c r="J253">
        <v>0</v>
      </c>
      <c r="K253" t="s">
        <v>33</v>
      </c>
      <c r="L253" t="s">
        <v>34</v>
      </c>
      <c r="M253" t="s">
        <v>63</v>
      </c>
      <c r="N253">
        <f>SalesTable[[#This Row],[الكمية]]*SalesTable[[#This Row],[سعر الوحدة]]</f>
        <v>22500</v>
      </c>
      <c r="O253">
        <f>SalesTable[[#This Row],[الكمية]]*SalesTable[[#This Row],[سعر الوحدة]]*(1-SalesTable[[#This Row],[الخصم]])</f>
        <v>22500</v>
      </c>
    </row>
    <row r="254" spans="1:15" x14ac:dyDescent="0.3">
      <c r="A254">
        <v>10253</v>
      </c>
      <c r="B254" t="s">
        <v>13</v>
      </c>
      <c r="C254" s="3">
        <v>46278</v>
      </c>
      <c r="D254" t="s">
        <v>45</v>
      </c>
      <c r="E254" t="s">
        <v>46</v>
      </c>
      <c r="F254" t="s">
        <v>49</v>
      </c>
      <c r="G254" t="s">
        <v>50</v>
      </c>
      <c r="H254">
        <v>7</v>
      </c>
      <c r="I254">
        <v>1200</v>
      </c>
      <c r="J254">
        <v>0.1</v>
      </c>
      <c r="K254" t="s">
        <v>38</v>
      </c>
      <c r="L254" t="s">
        <v>34</v>
      </c>
      <c r="M254" t="s">
        <v>253</v>
      </c>
      <c r="N254">
        <f>SalesTable[[#This Row],[الكمية]]*SalesTable[[#This Row],[سعر الوحدة]]</f>
        <v>8400</v>
      </c>
      <c r="O254">
        <f>SalesTable[[#This Row],[الكمية]]*SalesTable[[#This Row],[سعر الوحدة]]*(1-SalesTable[[#This Row],[الخصم]])</f>
        <v>7560</v>
      </c>
    </row>
    <row r="255" spans="1:15" x14ac:dyDescent="0.3">
      <c r="A255">
        <v>10254</v>
      </c>
      <c r="B255" t="s">
        <v>67</v>
      </c>
      <c r="C255" s="3">
        <v>46109</v>
      </c>
      <c r="D255" t="s">
        <v>81</v>
      </c>
      <c r="E255" t="s">
        <v>41</v>
      </c>
      <c r="F255" t="s">
        <v>59</v>
      </c>
      <c r="G255" t="s">
        <v>105</v>
      </c>
      <c r="H255">
        <v>3</v>
      </c>
      <c r="I255">
        <v>2200</v>
      </c>
      <c r="J255">
        <v>0.15</v>
      </c>
      <c r="K255" t="s">
        <v>55</v>
      </c>
      <c r="L255" t="s">
        <v>47</v>
      </c>
      <c r="M255" t="s">
        <v>254</v>
      </c>
      <c r="N255">
        <f>SalesTable[[#This Row],[الكمية]]*SalesTable[[#This Row],[سعر الوحدة]]</f>
        <v>6600</v>
      </c>
      <c r="O255">
        <f>SalesTable[[#This Row],[الكمية]]*SalesTable[[#This Row],[سعر الوحدة]]*(1-SalesTable[[#This Row],[الخصم]])</f>
        <v>5610</v>
      </c>
    </row>
    <row r="256" spans="1:15" x14ac:dyDescent="0.3">
      <c r="A256">
        <v>10255</v>
      </c>
      <c r="B256" t="s">
        <v>28</v>
      </c>
      <c r="C256" s="3">
        <v>46026</v>
      </c>
      <c r="D256" t="s">
        <v>90</v>
      </c>
      <c r="E256" t="s">
        <v>91</v>
      </c>
      <c r="F256" t="s">
        <v>24</v>
      </c>
      <c r="G256" t="s">
        <v>25</v>
      </c>
      <c r="H256">
        <v>2</v>
      </c>
      <c r="I256">
        <v>6500</v>
      </c>
      <c r="J256">
        <v>0.15</v>
      </c>
      <c r="K256" t="s">
        <v>33</v>
      </c>
      <c r="L256" t="s">
        <v>26</v>
      </c>
      <c r="M256" t="s">
        <v>255</v>
      </c>
      <c r="N256">
        <f>SalesTable[[#This Row],[الكمية]]*SalesTable[[#This Row],[سعر الوحدة]]</f>
        <v>13000</v>
      </c>
      <c r="O256">
        <f>SalesTable[[#This Row],[الكمية]]*SalesTable[[#This Row],[سعر الوحدة]]*(1-SalesTable[[#This Row],[الخصم]])</f>
        <v>11050</v>
      </c>
    </row>
    <row r="257" spans="1:15" x14ac:dyDescent="0.3">
      <c r="A257">
        <v>10256</v>
      </c>
      <c r="B257" t="s">
        <v>62</v>
      </c>
      <c r="C257" s="3">
        <v>46214</v>
      </c>
      <c r="D257" t="s">
        <v>104</v>
      </c>
      <c r="E257" t="s">
        <v>23</v>
      </c>
      <c r="F257" t="s">
        <v>64</v>
      </c>
      <c r="G257" t="s">
        <v>71</v>
      </c>
      <c r="H257">
        <v>4</v>
      </c>
      <c r="I257">
        <v>28000</v>
      </c>
      <c r="J257">
        <v>0.1</v>
      </c>
      <c r="K257" t="s">
        <v>18</v>
      </c>
      <c r="L257" t="s">
        <v>47</v>
      </c>
      <c r="M257" t="s">
        <v>256</v>
      </c>
      <c r="N257">
        <f>SalesTable[[#This Row],[الكمية]]*SalesTable[[#This Row],[سعر الوحدة]]</f>
        <v>112000</v>
      </c>
      <c r="O257">
        <f>SalesTable[[#This Row],[الكمية]]*SalesTable[[#This Row],[سعر الوحدة]]*(1-SalesTable[[#This Row],[الخصم]])</f>
        <v>100800</v>
      </c>
    </row>
    <row r="258" spans="1:15" x14ac:dyDescent="0.3">
      <c r="A258">
        <v>10257</v>
      </c>
      <c r="B258" t="s">
        <v>21</v>
      </c>
      <c r="C258" s="3">
        <v>46163</v>
      </c>
      <c r="D258" t="s">
        <v>22</v>
      </c>
      <c r="E258" t="s">
        <v>23</v>
      </c>
      <c r="F258" t="s">
        <v>24</v>
      </c>
      <c r="G258" t="s">
        <v>42</v>
      </c>
      <c r="H258">
        <v>1</v>
      </c>
      <c r="I258">
        <v>25000</v>
      </c>
      <c r="J258">
        <v>0</v>
      </c>
      <c r="K258" t="s">
        <v>38</v>
      </c>
      <c r="L258" t="s">
        <v>19</v>
      </c>
      <c r="M258" t="s">
        <v>257</v>
      </c>
      <c r="N258">
        <f>SalesTable[[#This Row],[الكمية]]*SalesTable[[#This Row],[سعر الوحدة]]</f>
        <v>25000</v>
      </c>
      <c r="O258">
        <f>SalesTable[[#This Row],[الكمية]]*SalesTable[[#This Row],[سعر الوحدة]]*(1-SalesTable[[#This Row],[الخصم]])</f>
        <v>25000</v>
      </c>
    </row>
    <row r="259" spans="1:15" x14ac:dyDescent="0.3">
      <c r="A259">
        <v>10258</v>
      </c>
      <c r="B259" t="s">
        <v>21</v>
      </c>
      <c r="C259" s="3">
        <v>46099</v>
      </c>
      <c r="D259" t="s">
        <v>68</v>
      </c>
      <c r="E259" t="s">
        <v>46</v>
      </c>
      <c r="F259" t="s">
        <v>84</v>
      </c>
      <c r="G259" t="s">
        <v>120</v>
      </c>
      <c r="H259">
        <v>2</v>
      </c>
      <c r="I259">
        <v>1400</v>
      </c>
      <c r="J259">
        <v>0</v>
      </c>
      <c r="K259" t="s">
        <v>55</v>
      </c>
      <c r="L259" t="s">
        <v>26</v>
      </c>
      <c r="M259" t="s">
        <v>258</v>
      </c>
      <c r="N259">
        <f>SalesTable[[#This Row],[الكمية]]*SalesTable[[#This Row],[سعر الوحدة]]</f>
        <v>2800</v>
      </c>
      <c r="O259">
        <f>SalesTable[[#This Row],[الكمية]]*SalesTable[[#This Row],[سعر الوحدة]]*(1-SalesTable[[#This Row],[الخصم]])</f>
        <v>2800</v>
      </c>
    </row>
    <row r="260" spans="1:15" x14ac:dyDescent="0.3">
      <c r="A260">
        <v>10259</v>
      </c>
      <c r="B260" t="s">
        <v>67</v>
      </c>
      <c r="C260" s="3">
        <v>46230</v>
      </c>
      <c r="D260" t="s">
        <v>110</v>
      </c>
      <c r="E260" t="s">
        <v>46</v>
      </c>
      <c r="F260" t="s">
        <v>49</v>
      </c>
      <c r="G260" t="s">
        <v>98</v>
      </c>
      <c r="H260">
        <v>7</v>
      </c>
      <c r="I260">
        <v>450</v>
      </c>
      <c r="J260">
        <v>0</v>
      </c>
      <c r="K260" t="s">
        <v>33</v>
      </c>
      <c r="L260" t="s">
        <v>26</v>
      </c>
      <c r="M260" t="s">
        <v>259</v>
      </c>
      <c r="N260">
        <f>SalesTable[[#This Row],[الكمية]]*SalesTable[[#This Row],[سعر الوحدة]]</f>
        <v>3150</v>
      </c>
      <c r="O260">
        <f>SalesTable[[#This Row],[الكمية]]*SalesTable[[#This Row],[سعر الوحدة]]*(1-SalesTable[[#This Row],[الخصم]])</f>
        <v>3150</v>
      </c>
    </row>
    <row r="261" spans="1:15" x14ac:dyDescent="0.3">
      <c r="A261">
        <v>10260</v>
      </c>
      <c r="B261" t="s">
        <v>36</v>
      </c>
      <c r="C261" s="3">
        <v>46216</v>
      </c>
      <c r="D261" t="s">
        <v>110</v>
      </c>
      <c r="E261" t="s">
        <v>46</v>
      </c>
      <c r="F261" t="s">
        <v>16</v>
      </c>
      <c r="G261" t="s">
        <v>17</v>
      </c>
      <c r="H261">
        <v>2</v>
      </c>
      <c r="I261">
        <v>450</v>
      </c>
      <c r="J261">
        <v>7.0000000000000007E-2</v>
      </c>
      <c r="K261" t="s">
        <v>33</v>
      </c>
      <c r="L261" t="s">
        <v>19</v>
      </c>
      <c r="M261" t="s">
        <v>260</v>
      </c>
      <c r="N261">
        <f>SalesTable[[#This Row],[الكمية]]*SalesTable[[#This Row],[سعر الوحدة]]</f>
        <v>900</v>
      </c>
      <c r="O261">
        <f>SalesTable[[#This Row],[الكمية]]*SalesTable[[#This Row],[سعر الوحدة]]*(1-SalesTable[[#This Row],[الخصم]])</f>
        <v>837</v>
      </c>
    </row>
    <row r="262" spans="1:15" x14ac:dyDescent="0.3">
      <c r="A262">
        <v>10261</v>
      </c>
      <c r="B262" t="s">
        <v>67</v>
      </c>
      <c r="C262" s="3">
        <v>46312</v>
      </c>
      <c r="D262" t="s">
        <v>81</v>
      </c>
      <c r="E262" t="s">
        <v>41</v>
      </c>
      <c r="F262" t="s">
        <v>64</v>
      </c>
      <c r="G262" t="s">
        <v>71</v>
      </c>
      <c r="H262">
        <v>8</v>
      </c>
      <c r="I262">
        <v>2200</v>
      </c>
      <c r="J262">
        <v>7.0000000000000007E-2</v>
      </c>
      <c r="K262" t="s">
        <v>18</v>
      </c>
      <c r="L262" t="s">
        <v>19</v>
      </c>
      <c r="M262" t="s">
        <v>177</v>
      </c>
      <c r="N262">
        <f>SalesTable[[#This Row],[الكمية]]*SalesTable[[#This Row],[سعر الوحدة]]</f>
        <v>17600</v>
      </c>
      <c r="O262">
        <f>SalesTable[[#This Row],[الكمية]]*SalesTable[[#This Row],[سعر الوحدة]]*(1-SalesTable[[#This Row],[الخصم]])</f>
        <v>16367.999999999998</v>
      </c>
    </row>
    <row r="263" spans="1:15" x14ac:dyDescent="0.3">
      <c r="A263">
        <v>10262</v>
      </c>
      <c r="B263" t="s">
        <v>52</v>
      </c>
      <c r="C263" s="3">
        <v>46301</v>
      </c>
      <c r="D263" t="s">
        <v>45</v>
      </c>
      <c r="E263" t="s">
        <v>46</v>
      </c>
      <c r="F263" t="s">
        <v>59</v>
      </c>
      <c r="G263" t="s">
        <v>105</v>
      </c>
      <c r="H263">
        <v>1</v>
      </c>
      <c r="I263">
        <v>1200</v>
      </c>
      <c r="J263">
        <v>0</v>
      </c>
      <c r="K263" t="s">
        <v>18</v>
      </c>
      <c r="L263" t="s">
        <v>26</v>
      </c>
      <c r="M263" t="s">
        <v>261</v>
      </c>
      <c r="N263">
        <f>SalesTable[[#This Row],[الكمية]]*SalesTable[[#This Row],[سعر الوحدة]]</f>
        <v>1200</v>
      </c>
      <c r="O263">
        <f>SalesTable[[#This Row],[الكمية]]*SalesTable[[#This Row],[سعر الوحدة]]*(1-SalesTable[[#This Row],[الخصم]])</f>
        <v>1200</v>
      </c>
    </row>
    <row r="264" spans="1:15" x14ac:dyDescent="0.3">
      <c r="A264">
        <v>10263</v>
      </c>
      <c r="B264" t="s">
        <v>36</v>
      </c>
      <c r="C264" s="3">
        <v>46062</v>
      </c>
      <c r="D264" t="s">
        <v>22</v>
      </c>
      <c r="E264" t="s">
        <v>23</v>
      </c>
      <c r="F264" t="s">
        <v>31</v>
      </c>
      <c r="G264" t="s">
        <v>77</v>
      </c>
      <c r="H264">
        <v>3</v>
      </c>
      <c r="I264">
        <v>25000</v>
      </c>
      <c r="J264">
        <v>0.15</v>
      </c>
      <c r="K264" t="s">
        <v>38</v>
      </c>
      <c r="L264" t="s">
        <v>26</v>
      </c>
      <c r="M264" t="s">
        <v>262</v>
      </c>
      <c r="N264">
        <f>SalesTable[[#This Row],[الكمية]]*SalesTable[[#This Row],[سعر الوحدة]]</f>
        <v>75000</v>
      </c>
      <c r="O264">
        <f>SalesTable[[#This Row],[الكمية]]*SalesTable[[#This Row],[سعر الوحدة]]*(1-SalesTable[[#This Row],[الخصم]])</f>
        <v>63750</v>
      </c>
    </row>
    <row r="265" spans="1:15" x14ac:dyDescent="0.3">
      <c r="A265">
        <v>10264</v>
      </c>
      <c r="B265" t="s">
        <v>36</v>
      </c>
      <c r="C265" s="3">
        <v>46094</v>
      </c>
      <c r="D265" t="s">
        <v>45</v>
      </c>
      <c r="E265" t="s">
        <v>46</v>
      </c>
      <c r="F265" t="s">
        <v>84</v>
      </c>
      <c r="G265" t="s">
        <v>113</v>
      </c>
      <c r="H265">
        <v>9</v>
      </c>
      <c r="I265">
        <v>1200</v>
      </c>
      <c r="J265">
        <v>0.05</v>
      </c>
      <c r="K265" t="s">
        <v>18</v>
      </c>
      <c r="L265" t="s">
        <v>34</v>
      </c>
      <c r="M265" t="s">
        <v>149</v>
      </c>
      <c r="N265">
        <f>SalesTable[[#This Row],[الكمية]]*SalesTable[[#This Row],[سعر الوحدة]]</f>
        <v>10800</v>
      </c>
      <c r="O265">
        <f>SalesTable[[#This Row],[الكمية]]*SalesTable[[#This Row],[سعر الوحدة]]*(1-SalesTable[[#This Row],[الخصم]])</f>
        <v>10260</v>
      </c>
    </row>
    <row r="266" spans="1:15" x14ac:dyDescent="0.3">
      <c r="A266">
        <v>10265</v>
      </c>
      <c r="B266" t="s">
        <v>94</v>
      </c>
      <c r="C266" s="3">
        <v>46337</v>
      </c>
      <c r="D266" t="s">
        <v>104</v>
      </c>
      <c r="E266" t="s">
        <v>23</v>
      </c>
      <c r="F266" t="s">
        <v>84</v>
      </c>
      <c r="G266" t="s">
        <v>120</v>
      </c>
      <c r="H266">
        <v>2</v>
      </c>
      <c r="I266">
        <v>28000</v>
      </c>
      <c r="J266">
        <v>0.05</v>
      </c>
      <c r="K266" t="s">
        <v>33</v>
      </c>
      <c r="L266" t="s">
        <v>34</v>
      </c>
      <c r="M266" t="s">
        <v>190</v>
      </c>
      <c r="N266">
        <f>SalesTable[[#This Row],[الكمية]]*SalesTable[[#This Row],[سعر الوحدة]]</f>
        <v>56000</v>
      </c>
      <c r="O266">
        <f>SalesTable[[#This Row],[الكمية]]*SalesTable[[#This Row],[سعر الوحدة]]*(1-SalesTable[[#This Row],[الخصم]])</f>
        <v>53200</v>
      </c>
    </row>
    <row r="267" spans="1:15" x14ac:dyDescent="0.3">
      <c r="A267">
        <v>10266</v>
      </c>
      <c r="B267" t="s">
        <v>67</v>
      </c>
      <c r="C267" s="3">
        <v>46306</v>
      </c>
      <c r="D267" t="s">
        <v>14</v>
      </c>
      <c r="E267" t="s">
        <v>15</v>
      </c>
      <c r="F267" t="s">
        <v>87</v>
      </c>
      <c r="G267" t="s">
        <v>88</v>
      </c>
      <c r="H267">
        <v>8</v>
      </c>
      <c r="I267">
        <v>650</v>
      </c>
      <c r="J267">
        <v>0.03</v>
      </c>
      <c r="K267" t="s">
        <v>33</v>
      </c>
      <c r="L267" t="s">
        <v>47</v>
      </c>
      <c r="M267" t="s">
        <v>263</v>
      </c>
      <c r="N267">
        <f>SalesTable[[#This Row],[الكمية]]*SalesTable[[#This Row],[سعر الوحدة]]</f>
        <v>5200</v>
      </c>
      <c r="O267">
        <f>SalesTable[[#This Row],[الكمية]]*SalesTable[[#This Row],[سعر الوحدة]]*(1-SalesTable[[#This Row],[الخصم]])</f>
        <v>5044</v>
      </c>
    </row>
    <row r="268" spans="1:15" x14ac:dyDescent="0.3">
      <c r="A268">
        <v>10267</v>
      </c>
      <c r="B268" t="s">
        <v>13</v>
      </c>
      <c r="C268" s="3">
        <v>46060</v>
      </c>
      <c r="D268" t="s">
        <v>14</v>
      </c>
      <c r="E268" t="s">
        <v>15</v>
      </c>
      <c r="F268" t="s">
        <v>84</v>
      </c>
      <c r="G268" t="s">
        <v>120</v>
      </c>
      <c r="H268">
        <v>10</v>
      </c>
      <c r="I268">
        <v>650</v>
      </c>
      <c r="J268">
        <v>0.05</v>
      </c>
      <c r="K268" t="s">
        <v>18</v>
      </c>
      <c r="L268" t="s">
        <v>34</v>
      </c>
      <c r="M268" t="s">
        <v>63</v>
      </c>
      <c r="N268">
        <f>SalesTable[[#This Row],[الكمية]]*SalesTable[[#This Row],[سعر الوحدة]]</f>
        <v>6500</v>
      </c>
      <c r="O268">
        <f>SalesTable[[#This Row],[الكمية]]*SalesTable[[#This Row],[سعر الوحدة]]*(1-SalesTable[[#This Row],[الخصم]])</f>
        <v>6175</v>
      </c>
    </row>
    <row r="269" spans="1:15" x14ac:dyDescent="0.3">
      <c r="A269">
        <v>10268</v>
      </c>
      <c r="B269" t="s">
        <v>44</v>
      </c>
      <c r="C269" s="3">
        <v>46069</v>
      </c>
      <c r="D269" t="s">
        <v>29</v>
      </c>
      <c r="E269" t="s">
        <v>30</v>
      </c>
      <c r="F269" t="s">
        <v>64</v>
      </c>
      <c r="G269" t="s">
        <v>65</v>
      </c>
      <c r="H269">
        <v>6</v>
      </c>
      <c r="I269">
        <v>7500</v>
      </c>
      <c r="J269">
        <v>0.05</v>
      </c>
      <c r="K269" t="s">
        <v>18</v>
      </c>
      <c r="L269" t="s">
        <v>34</v>
      </c>
      <c r="M269" t="s">
        <v>172</v>
      </c>
      <c r="N269">
        <f>SalesTable[[#This Row],[الكمية]]*SalesTable[[#This Row],[سعر الوحدة]]</f>
        <v>45000</v>
      </c>
      <c r="O269">
        <f>SalesTable[[#This Row],[الكمية]]*SalesTable[[#This Row],[سعر الوحدة]]*(1-SalesTable[[#This Row],[الخصم]])</f>
        <v>42750</v>
      </c>
    </row>
    <row r="270" spans="1:15" x14ac:dyDescent="0.3">
      <c r="A270">
        <v>10269</v>
      </c>
      <c r="B270" t="s">
        <v>112</v>
      </c>
      <c r="C270" s="3">
        <v>46243</v>
      </c>
      <c r="D270" t="s">
        <v>70</v>
      </c>
      <c r="E270" t="s">
        <v>46</v>
      </c>
      <c r="F270" t="s">
        <v>87</v>
      </c>
      <c r="G270" t="s">
        <v>101</v>
      </c>
      <c r="H270">
        <v>3</v>
      </c>
      <c r="I270">
        <v>1800</v>
      </c>
      <c r="J270">
        <v>0</v>
      </c>
      <c r="K270" t="s">
        <v>33</v>
      </c>
      <c r="L270" t="s">
        <v>47</v>
      </c>
      <c r="M270" t="s">
        <v>264</v>
      </c>
      <c r="N270">
        <f>SalesTable[[#This Row],[الكمية]]*SalesTable[[#This Row],[سعر الوحدة]]</f>
        <v>5400</v>
      </c>
      <c r="O270">
        <f>SalesTable[[#This Row],[الكمية]]*SalesTable[[#This Row],[سعر الوحدة]]*(1-SalesTable[[#This Row],[الخصم]])</f>
        <v>5400</v>
      </c>
    </row>
    <row r="271" spans="1:15" x14ac:dyDescent="0.3">
      <c r="A271">
        <v>10270</v>
      </c>
      <c r="B271" t="s">
        <v>94</v>
      </c>
      <c r="C271" s="3">
        <v>46329</v>
      </c>
      <c r="D271" t="s">
        <v>22</v>
      </c>
      <c r="E271" t="s">
        <v>23</v>
      </c>
      <c r="F271" t="s">
        <v>16</v>
      </c>
      <c r="G271" t="s">
        <v>79</v>
      </c>
      <c r="H271">
        <v>9</v>
      </c>
      <c r="I271">
        <v>25000</v>
      </c>
      <c r="J271">
        <v>0</v>
      </c>
      <c r="K271" t="s">
        <v>38</v>
      </c>
      <c r="L271" t="s">
        <v>47</v>
      </c>
      <c r="M271" t="s">
        <v>265</v>
      </c>
      <c r="N271">
        <f>SalesTable[[#This Row],[الكمية]]*SalesTable[[#This Row],[سعر الوحدة]]</f>
        <v>225000</v>
      </c>
      <c r="O271">
        <f>SalesTable[[#This Row],[الكمية]]*SalesTable[[#This Row],[سعر الوحدة]]*(1-SalesTable[[#This Row],[الخصم]])</f>
        <v>225000</v>
      </c>
    </row>
    <row r="272" spans="1:15" x14ac:dyDescent="0.3">
      <c r="A272">
        <v>10271</v>
      </c>
      <c r="B272" t="s">
        <v>21</v>
      </c>
      <c r="C272" s="3">
        <v>46147</v>
      </c>
      <c r="D272" t="s">
        <v>110</v>
      </c>
      <c r="E272" t="s">
        <v>46</v>
      </c>
      <c r="F272" t="s">
        <v>84</v>
      </c>
      <c r="G272" t="s">
        <v>85</v>
      </c>
      <c r="H272">
        <v>2</v>
      </c>
      <c r="I272">
        <v>450</v>
      </c>
      <c r="J272">
        <v>0.15</v>
      </c>
      <c r="K272" t="s">
        <v>55</v>
      </c>
      <c r="L272" t="s">
        <v>47</v>
      </c>
      <c r="M272" t="s">
        <v>266</v>
      </c>
      <c r="N272">
        <f>SalesTable[[#This Row],[الكمية]]*SalesTable[[#This Row],[سعر الوحدة]]</f>
        <v>900</v>
      </c>
      <c r="O272">
        <f>SalesTable[[#This Row],[الكمية]]*SalesTable[[#This Row],[سعر الوحدة]]*(1-SalesTable[[#This Row],[الخصم]])</f>
        <v>765</v>
      </c>
    </row>
    <row r="273" spans="1:15" x14ac:dyDescent="0.3">
      <c r="A273">
        <v>10272</v>
      </c>
      <c r="B273" t="s">
        <v>112</v>
      </c>
      <c r="C273" s="3">
        <v>46055</v>
      </c>
      <c r="D273" t="s">
        <v>37</v>
      </c>
      <c r="E273" t="s">
        <v>23</v>
      </c>
      <c r="F273" t="s">
        <v>87</v>
      </c>
      <c r="G273" t="s">
        <v>88</v>
      </c>
      <c r="H273">
        <v>5</v>
      </c>
      <c r="I273">
        <v>32000</v>
      </c>
      <c r="J273">
        <v>7.0000000000000007E-2</v>
      </c>
      <c r="K273" t="s">
        <v>55</v>
      </c>
      <c r="L273" t="s">
        <v>47</v>
      </c>
      <c r="M273" t="s">
        <v>143</v>
      </c>
      <c r="N273">
        <f>SalesTable[[#This Row],[الكمية]]*SalesTable[[#This Row],[سعر الوحدة]]</f>
        <v>160000</v>
      </c>
      <c r="O273">
        <f>SalesTable[[#This Row],[الكمية]]*SalesTable[[#This Row],[سعر الوحدة]]*(1-SalesTable[[#This Row],[الخصم]])</f>
        <v>148800</v>
      </c>
    </row>
    <row r="274" spans="1:15" x14ac:dyDescent="0.3">
      <c r="A274">
        <v>10273</v>
      </c>
      <c r="B274" t="s">
        <v>52</v>
      </c>
      <c r="C274" s="3">
        <v>46149</v>
      </c>
      <c r="D274" t="s">
        <v>29</v>
      </c>
      <c r="E274" t="s">
        <v>30</v>
      </c>
      <c r="F274" t="s">
        <v>87</v>
      </c>
      <c r="G274" t="s">
        <v>88</v>
      </c>
      <c r="H274">
        <v>2</v>
      </c>
      <c r="I274">
        <v>7500</v>
      </c>
      <c r="J274">
        <v>0.05</v>
      </c>
      <c r="K274" t="s">
        <v>33</v>
      </c>
      <c r="L274" t="s">
        <v>26</v>
      </c>
      <c r="M274" t="s">
        <v>267</v>
      </c>
      <c r="N274">
        <f>SalesTable[[#This Row],[الكمية]]*SalesTable[[#This Row],[سعر الوحدة]]</f>
        <v>15000</v>
      </c>
      <c r="O274">
        <f>SalesTable[[#This Row],[الكمية]]*SalesTable[[#This Row],[سعر الوحدة]]*(1-SalesTable[[#This Row],[الخصم]])</f>
        <v>14250</v>
      </c>
    </row>
    <row r="275" spans="1:15" x14ac:dyDescent="0.3">
      <c r="A275">
        <v>10274</v>
      </c>
      <c r="B275" t="s">
        <v>67</v>
      </c>
      <c r="C275" s="3">
        <v>46340</v>
      </c>
      <c r="D275" t="s">
        <v>104</v>
      </c>
      <c r="E275" t="s">
        <v>23</v>
      </c>
      <c r="F275" t="s">
        <v>64</v>
      </c>
      <c r="G275" t="s">
        <v>107</v>
      </c>
      <c r="H275">
        <v>1</v>
      </c>
      <c r="I275">
        <v>28000</v>
      </c>
      <c r="J275">
        <v>7.0000000000000007E-2</v>
      </c>
      <c r="K275" t="s">
        <v>33</v>
      </c>
      <c r="L275" t="s">
        <v>34</v>
      </c>
      <c r="M275" t="s">
        <v>169</v>
      </c>
      <c r="N275">
        <f>SalesTable[[#This Row],[الكمية]]*SalesTable[[#This Row],[سعر الوحدة]]</f>
        <v>28000</v>
      </c>
      <c r="O275">
        <f>SalesTable[[#This Row],[الكمية]]*SalesTable[[#This Row],[سعر الوحدة]]*(1-SalesTable[[#This Row],[الخصم]])</f>
        <v>26040</v>
      </c>
    </row>
    <row r="276" spans="1:15" x14ac:dyDescent="0.3">
      <c r="A276">
        <v>10275</v>
      </c>
      <c r="B276" t="s">
        <v>52</v>
      </c>
      <c r="C276" s="3">
        <v>46187</v>
      </c>
      <c r="D276" t="s">
        <v>70</v>
      </c>
      <c r="E276" t="s">
        <v>46</v>
      </c>
      <c r="F276" t="s">
        <v>84</v>
      </c>
      <c r="G276" t="s">
        <v>113</v>
      </c>
      <c r="H276">
        <v>10</v>
      </c>
      <c r="I276">
        <v>1800</v>
      </c>
      <c r="J276">
        <v>0.03</v>
      </c>
      <c r="K276" t="s">
        <v>55</v>
      </c>
      <c r="L276" t="s">
        <v>47</v>
      </c>
      <c r="M276" t="s">
        <v>252</v>
      </c>
      <c r="N276">
        <f>SalesTable[[#This Row],[الكمية]]*SalesTable[[#This Row],[سعر الوحدة]]</f>
        <v>18000</v>
      </c>
      <c r="O276">
        <f>SalesTable[[#This Row],[الكمية]]*SalesTable[[#This Row],[سعر الوحدة]]*(1-SalesTable[[#This Row],[الخصم]])</f>
        <v>17460</v>
      </c>
    </row>
    <row r="277" spans="1:15" x14ac:dyDescent="0.3">
      <c r="A277">
        <v>10276</v>
      </c>
      <c r="B277" t="s">
        <v>62</v>
      </c>
      <c r="C277" s="3">
        <v>46317</v>
      </c>
      <c r="D277" t="s">
        <v>37</v>
      </c>
      <c r="E277" t="s">
        <v>23</v>
      </c>
      <c r="F277" t="s">
        <v>84</v>
      </c>
      <c r="G277" t="s">
        <v>85</v>
      </c>
      <c r="H277">
        <v>5</v>
      </c>
      <c r="I277">
        <v>32000</v>
      </c>
      <c r="J277">
        <v>0.15</v>
      </c>
      <c r="K277" t="s">
        <v>55</v>
      </c>
      <c r="L277" t="s">
        <v>34</v>
      </c>
      <c r="M277" t="s">
        <v>268</v>
      </c>
      <c r="N277">
        <f>SalesTable[[#This Row],[الكمية]]*SalesTable[[#This Row],[سعر الوحدة]]</f>
        <v>160000</v>
      </c>
      <c r="O277">
        <f>SalesTable[[#This Row],[الكمية]]*SalesTable[[#This Row],[سعر الوحدة]]*(1-SalesTable[[#This Row],[الخصم]])</f>
        <v>136000</v>
      </c>
    </row>
    <row r="278" spans="1:15" x14ac:dyDescent="0.3">
      <c r="A278">
        <v>10277</v>
      </c>
      <c r="B278" t="s">
        <v>13</v>
      </c>
      <c r="C278" s="3">
        <v>46326</v>
      </c>
      <c r="D278" t="s">
        <v>110</v>
      </c>
      <c r="E278" t="s">
        <v>46</v>
      </c>
      <c r="F278" t="s">
        <v>84</v>
      </c>
      <c r="G278" t="s">
        <v>85</v>
      </c>
      <c r="H278">
        <v>2</v>
      </c>
      <c r="I278">
        <v>450</v>
      </c>
      <c r="J278">
        <v>0.1</v>
      </c>
      <c r="K278" t="s">
        <v>55</v>
      </c>
      <c r="L278" t="s">
        <v>19</v>
      </c>
      <c r="M278" t="s">
        <v>269</v>
      </c>
      <c r="N278">
        <f>SalesTable[[#This Row],[الكمية]]*SalesTable[[#This Row],[سعر الوحدة]]</f>
        <v>900</v>
      </c>
      <c r="O278">
        <f>SalesTable[[#This Row],[الكمية]]*SalesTable[[#This Row],[سعر الوحدة]]*(1-SalesTable[[#This Row],[الخصم]])</f>
        <v>810</v>
      </c>
    </row>
    <row r="279" spans="1:15" x14ac:dyDescent="0.3">
      <c r="A279">
        <v>10278</v>
      </c>
      <c r="B279" t="s">
        <v>44</v>
      </c>
      <c r="C279" s="3">
        <v>46232</v>
      </c>
      <c r="D279" t="s">
        <v>81</v>
      </c>
      <c r="E279" t="s">
        <v>41</v>
      </c>
      <c r="F279" t="s">
        <v>31</v>
      </c>
      <c r="G279" t="s">
        <v>32</v>
      </c>
      <c r="H279">
        <v>5</v>
      </c>
      <c r="I279">
        <v>2200</v>
      </c>
      <c r="J279">
        <v>0.15</v>
      </c>
      <c r="K279" t="s">
        <v>33</v>
      </c>
      <c r="L279" t="s">
        <v>26</v>
      </c>
      <c r="M279" t="s">
        <v>270</v>
      </c>
      <c r="N279">
        <f>SalesTable[[#This Row],[الكمية]]*SalesTable[[#This Row],[سعر الوحدة]]</f>
        <v>11000</v>
      </c>
      <c r="O279">
        <f>SalesTable[[#This Row],[الكمية]]*SalesTable[[#This Row],[سعر الوحدة]]*(1-SalesTable[[#This Row],[الخصم]])</f>
        <v>9350</v>
      </c>
    </row>
    <row r="280" spans="1:15" x14ac:dyDescent="0.3">
      <c r="A280">
        <v>10279</v>
      </c>
      <c r="B280" t="s">
        <v>36</v>
      </c>
      <c r="C280" s="3">
        <v>46216</v>
      </c>
      <c r="D280" t="s">
        <v>45</v>
      </c>
      <c r="E280" t="s">
        <v>46</v>
      </c>
      <c r="F280" t="s">
        <v>87</v>
      </c>
      <c r="G280" t="s">
        <v>103</v>
      </c>
      <c r="H280">
        <v>3</v>
      </c>
      <c r="I280">
        <v>1200</v>
      </c>
      <c r="J280">
        <v>0.15</v>
      </c>
      <c r="K280" t="s">
        <v>18</v>
      </c>
      <c r="L280" t="s">
        <v>47</v>
      </c>
      <c r="M280" t="s">
        <v>237</v>
      </c>
      <c r="N280">
        <f>SalesTable[[#This Row],[الكمية]]*SalesTable[[#This Row],[سعر الوحدة]]</f>
        <v>3600</v>
      </c>
      <c r="O280">
        <f>SalesTable[[#This Row],[الكمية]]*SalesTable[[#This Row],[سعر الوحدة]]*(1-SalesTable[[#This Row],[الخصم]])</f>
        <v>3060</v>
      </c>
    </row>
    <row r="281" spans="1:15" x14ac:dyDescent="0.3">
      <c r="A281">
        <v>10280</v>
      </c>
      <c r="B281" t="s">
        <v>36</v>
      </c>
      <c r="C281" s="3">
        <v>46301</v>
      </c>
      <c r="D281" t="s">
        <v>95</v>
      </c>
      <c r="E281" t="s">
        <v>15</v>
      </c>
      <c r="F281" t="s">
        <v>84</v>
      </c>
      <c r="G281" t="s">
        <v>113</v>
      </c>
      <c r="H281">
        <v>9</v>
      </c>
      <c r="I281">
        <v>5200</v>
      </c>
      <c r="J281">
        <v>0.15</v>
      </c>
      <c r="K281" t="s">
        <v>18</v>
      </c>
      <c r="L281" t="s">
        <v>34</v>
      </c>
      <c r="M281" t="s">
        <v>117</v>
      </c>
      <c r="N281">
        <f>SalesTable[[#This Row],[الكمية]]*SalesTable[[#This Row],[سعر الوحدة]]</f>
        <v>46800</v>
      </c>
      <c r="O281">
        <f>SalesTable[[#This Row],[الكمية]]*SalesTable[[#This Row],[سعر الوحدة]]*(1-SalesTable[[#This Row],[الخصم]])</f>
        <v>39780</v>
      </c>
    </row>
    <row r="282" spans="1:15" x14ac:dyDescent="0.3">
      <c r="A282">
        <v>10281</v>
      </c>
      <c r="B282" t="s">
        <v>67</v>
      </c>
      <c r="C282" s="3">
        <v>46108</v>
      </c>
      <c r="D282" t="s">
        <v>95</v>
      </c>
      <c r="E282" t="s">
        <v>15</v>
      </c>
      <c r="F282" t="s">
        <v>16</v>
      </c>
      <c r="G282" t="s">
        <v>17</v>
      </c>
      <c r="H282">
        <v>4</v>
      </c>
      <c r="I282">
        <v>5200</v>
      </c>
      <c r="J282">
        <v>0.15</v>
      </c>
      <c r="K282" t="s">
        <v>18</v>
      </c>
      <c r="L282" t="s">
        <v>47</v>
      </c>
      <c r="M282" t="s">
        <v>121</v>
      </c>
      <c r="N282">
        <f>SalesTable[[#This Row],[الكمية]]*SalesTable[[#This Row],[سعر الوحدة]]</f>
        <v>20800</v>
      </c>
      <c r="O282">
        <f>SalesTable[[#This Row],[الكمية]]*SalesTable[[#This Row],[سعر الوحدة]]*(1-SalesTable[[#This Row],[الخصم]])</f>
        <v>17680</v>
      </c>
    </row>
    <row r="283" spans="1:15" x14ac:dyDescent="0.3">
      <c r="A283">
        <v>10282</v>
      </c>
      <c r="B283" t="s">
        <v>52</v>
      </c>
      <c r="C283" s="3">
        <v>46136</v>
      </c>
      <c r="D283" t="s">
        <v>40</v>
      </c>
      <c r="E283" t="s">
        <v>41</v>
      </c>
      <c r="F283" t="s">
        <v>84</v>
      </c>
      <c r="G283" t="s">
        <v>120</v>
      </c>
      <c r="H283">
        <v>1</v>
      </c>
      <c r="I283">
        <v>150</v>
      </c>
      <c r="J283">
        <v>0</v>
      </c>
      <c r="K283" t="s">
        <v>55</v>
      </c>
      <c r="L283" t="s">
        <v>47</v>
      </c>
      <c r="M283" t="s">
        <v>271</v>
      </c>
      <c r="N283">
        <f>SalesTable[[#This Row],[الكمية]]*SalesTable[[#This Row],[سعر الوحدة]]</f>
        <v>150</v>
      </c>
      <c r="O283">
        <f>SalesTable[[#This Row],[الكمية]]*SalesTable[[#This Row],[سعر الوحدة]]*(1-SalesTable[[#This Row],[الخصم]])</f>
        <v>150</v>
      </c>
    </row>
    <row r="284" spans="1:15" x14ac:dyDescent="0.3">
      <c r="A284">
        <v>10283</v>
      </c>
      <c r="B284" t="s">
        <v>21</v>
      </c>
      <c r="C284" s="3">
        <v>46100</v>
      </c>
      <c r="D284" t="s">
        <v>29</v>
      </c>
      <c r="E284" t="s">
        <v>30</v>
      </c>
      <c r="F284" t="s">
        <v>59</v>
      </c>
      <c r="G284" t="s">
        <v>75</v>
      </c>
      <c r="H284">
        <v>10</v>
      </c>
      <c r="I284">
        <v>7500</v>
      </c>
      <c r="J284">
        <v>0.15</v>
      </c>
      <c r="K284" t="s">
        <v>38</v>
      </c>
      <c r="L284" t="s">
        <v>19</v>
      </c>
      <c r="M284" t="s">
        <v>272</v>
      </c>
      <c r="N284">
        <f>SalesTable[[#This Row],[الكمية]]*SalesTable[[#This Row],[سعر الوحدة]]</f>
        <v>75000</v>
      </c>
      <c r="O284">
        <f>SalesTable[[#This Row],[الكمية]]*SalesTable[[#This Row],[سعر الوحدة]]*(1-SalesTable[[#This Row],[الخصم]])</f>
        <v>63750</v>
      </c>
    </row>
    <row r="285" spans="1:15" x14ac:dyDescent="0.3">
      <c r="A285">
        <v>10284</v>
      </c>
      <c r="B285" t="s">
        <v>112</v>
      </c>
      <c r="C285" s="3">
        <v>46201</v>
      </c>
      <c r="D285" t="s">
        <v>104</v>
      </c>
      <c r="E285" t="s">
        <v>23</v>
      </c>
      <c r="F285" t="s">
        <v>87</v>
      </c>
      <c r="G285" t="s">
        <v>88</v>
      </c>
      <c r="H285">
        <v>2</v>
      </c>
      <c r="I285">
        <v>28000</v>
      </c>
      <c r="J285">
        <v>0</v>
      </c>
      <c r="K285" t="s">
        <v>38</v>
      </c>
      <c r="L285" t="s">
        <v>34</v>
      </c>
      <c r="M285" t="s">
        <v>273</v>
      </c>
      <c r="N285">
        <f>SalesTable[[#This Row],[الكمية]]*SalesTable[[#This Row],[سعر الوحدة]]</f>
        <v>56000</v>
      </c>
      <c r="O285">
        <f>SalesTable[[#This Row],[الكمية]]*SalesTable[[#This Row],[سعر الوحدة]]*(1-SalesTable[[#This Row],[الخصم]])</f>
        <v>56000</v>
      </c>
    </row>
    <row r="286" spans="1:15" x14ac:dyDescent="0.3">
      <c r="A286">
        <v>10285</v>
      </c>
      <c r="B286" t="s">
        <v>62</v>
      </c>
      <c r="C286" s="3">
        <v>46072</v>
      </c>
      <c r="D286" t="s">
        <v>40</v>
      </c>
      <c r="E286" t="s">
        <v>41</v>
      </c>
      <c r="F286" t="s">
        <v>31</v>
      </c>
      <c r="G286" t="s">
        <v>77</v>
      </c>
      <c r="H286">
        <v>8</v>
      </c>
      <c r="I286">
        <v>150</v>
      </c>
      <c r="J286">
        <v>0.05</v>
      </c>
      <c r="K286" t="s">
        <v>33</v>
      </c>
      <c r="L286" t="s">
        <v>47</v>
      </c>
      <c r="M286" t="s">
        <v>274</v>
      </c>
      <c r="N286">
        <f>SalesTable[[#This Row],[الكمية]]*SalesTable[[#This Row],[سعر الوحدة]]</f>
        <v>1200</v>
      </c>
      <c r="O286">
        <f>SalesTable[[#This Row],[الكمية]]*SalesTable[[#This Row],[سعر الوحدة]]*(1-SalesTable[[#This Row],[الخصم]])</f>
        <v>1140</v>
      </c>
    </row>
    <row r="287" spans="1:15" x14ac:dyDescent="0.3">
      <c r="A287">
        <v>10286</v>
      </c>
      <c r="B287" t="s">
        <v>67</v>
      </c>
      <c r="C287" s="3">
        <v>46354</v>
      </c>
      <c r="D287" t="s">
        <v>104</v>
      </c>
      <c r="E287" t="s">
        <v>23</v>
      </c>
      <c r="F287" t="s">
        <v>87</v>
      </c>
      <c r="G287" t="s">
        <v>101</v>
      </c>
      <c r="H287">
        <v>2</v>
      </c>
      <c r="I287">
        <v>28000</v>
      </c>
      <c r="J287">
        <v>0</v>
      </c>
      <c r="K287" t="s">
        <v>18</v>
      </c>
      <c r="L287" t="s">
        <v>26</v>
      </c>
      <c r="M287" t="s">
        <v>139</v>
      </c>
      <c r="N287">
        <f>SalesTable[[#This Row],[الكمية]]*SalesTable[[#This Row],[سعر الوحدة]]</f>
        <v>56000</v>
      </c>
      <c r="O287">
        <f>SalesTable[[#This Row],[الكمية]]*SalesTable[[#This Row],[سعر الوحدة]]*(1-SalesTable[[#This Row],[الخصم]])</f>
        <v>56000</v>
      </c>
    </row>
    <row r="288" spans="1:15" x14ac:dyDescent="0.3">
      <c r="A288">
        <v>10287</v>
      </c>
      <c r="B288" t="s">
        <v>36</v>
      </c>
      <c r="C288" s="3">
        <v>46259</v>
      </c>
      <c r="D288" t="s">
        <v>53</v>
      </c>
      <c r="E288" t="s">
        <v>15</v>
      </c>
      <c r="F288" t="s">
        <v>64</v>
      </c>
      <c r="G288" t="s">
        <v>184</v>
      </c>
      <c r="H288">
        <v>6</v>
      </c>
      <c r="I288">
        <v>3200</v>
      </c>
      <c r="J288">
        <v>0.1</v>
      </c>
      <c r="K288" t="s">
        <v>55</v>
      </c>
      <c r="L288" t="s">
        <v>47</v>
      </c>
      <c r="M288" t="s">
        <v>254</v>
      </c>
      <c r="N288">
        <f>SalesTable[[#This Row],[الكمية]]*SalesTable[[#This Row],[سعر الوحدة]]</f>
        <v>19200</v>
      </c>
      <c r="O288">
        <f>SalesTable[[#This Row],[الكمية]]*SalesTable[[#This Row],[سعر الوحدة]]*(1-SalesTable[[#This Row],[الخصم]])</f>
        <v>17280</v>
      </c>
    </row>
    <row r="289" spans="1:15" x14ac:dyDescent="0.3">
      <c r="A289">
        <v>10288</v>
      </c>
      <c r="B289" t="s">
        <v>94</v>
      </c>
      <c r="C289" s="3">
        <v>46124</v>
      </c>
      <c r="D289" t="s">
        <v>37</v>
      </c>
      <c r="E289" t="s">
        <v>23</v>
      </c>
      <c r="F289" t="s">
        <v>84</v>
      </c>
      <c r="G289" t="s">
        <v>85</v>
      </c>
      <c r="H289">
        <v>1</v>
      </c>
      <c r="I289">
        <v>32000</v>
      </c>
      <c r="J289">
        <v>0.15</v>
      </c>
      <c r="K289" t="s">
        <v>33</v>
      </c>
      <c r="L289" t="s">
        <v>47</v>
      </c>
      <c r="M289" t="s">
        <v>275</v>
      </c>
      <c r="N289">
        <f>SalesTable[[#This Row],[الكمية]]*SalesTable[[#This Row],[سعر الوحدة]]</f>
        <v>32000</v>
      </c>
      <c r="O289">
        <f>SalesTable[[#This Row],[الكمية]]*SalesTable[[#This Row],[سعر الوحدة]]*(1-SalesTable[[#This Row],[الخصم]])</f>
        <v>27200</v>
      </c>
    </row>
    <row r="290" spans="1:15" x14ac:dyDescent="0.3">
      <c r="A290">
        <v>10289</v>
      </c>
      <c r="B290" t="s">
        <v>44</v>
      </c>
      <c r="C290" s="3">
        <v>46318</v>
      </c>
      <c r="D290" t="s">
        <v>22</v>
      </c>
      <c r="E290" t="s">
        <v>23</v>
      </c>
      <c r="F290" t="s">
        <v>31</v>
      </c>
      <c r="G290" t="s">
        <v>54</v>
      </c>
      <c r="H290">
        <v>5</v>
      </c>
      <c r="I290">
        <v>25000</v>
      </c>
      <c r="J290">
        <v>0.15</v>
      </c>
      <c r="K290" t="s">
        <v>18</v>
      </c>
      <c r="L290" t="s">
        <v>26</v>
      </c>
      <c r="M290" t="s">
        <v>276</v>
      </c>
      <c r="N290">
        <f>SalesTable[[#This Row],[الكمية]]*SalesTable[[#This Row],[سعر الوحدة]]</f>
        <v>125000</v>
      </c>
      <c r="O290">
        <f>SalesTable[[#This Row],[الكمية]]*SalesTable[[#This Row],[سعر الوحدة]]*(1-SalesTable[[#This Row],[الخصم]])</f>
        <v>106250</v>
      </c>
    </row>
    <row r="291" spans="1:15" x14ac:dyDescent="0.3">
      <c r="A291">
        <v>10290</v>
      </c>
      <c r="B291" t="s">
        <v>62</v>
      </c>
      <c r="C291" s="3">
        <v>46293</v>
      </c>
      <c r="D291" t="s">
        <v>70</v>
      </c>
      <c r="E291" t="s">
        <v>46</v>
      </c>
      <c r="F291" t="s">
        <v>31</v>
      </c>
      <c r="G291" t="s">
        <v>32</v>
      </c>
      <c r="H291">
        <v>2</v>
      </c>
      <c r="I291">
        <v>1800</v>
      </c>
      <c r="J291">
        <v>0.05</v>
      </c>
      <c r="K291" t="s">
        <v>38</v>
      </c>
      <c r="L291" t="s">
        <v>47</v>
      </c>
      <c r="M291" t="s">
        <v>277</v>
      </c>
      <c r="N291">
        <f>SalesTable[[#This Row],[الكمية]]*SalesTable[[#This Row],[سعر الوحدة]]</f>
        <v>3600</v>
      </c>
      <c r="O291">
        <f>SalesTable[[#This Row],[الكمية]]*SalesTable[[#This Row],[سعر الوحدة]]*(1-SalesTable[[#This Row],[الخصم]])</f>
        <v>3420</v>
      </c>
    </row>
    <row r="292" spans="1:15" x14ac:dyDescent="0.3">
      <c r="A292">
        <v>10291</v>
      </c>
      <c r="B292" t="s">
        <v>94</v>
      </c>
      <c r="C292" s="3">
        <v>46111</v>
      </c>
      <c r="D292" t="s">
        <v>95</v>
      </c>
      <c r="E292" t="s">
        <v>15</v>
      </c>
      <c r="F292" t="s">
        <v>16</v>
      </c>
      <c r="G292" t="s">
        <v>79</v>
      </c>
      <c r="H292">
        <v>6</v>
      </c>
      <c r="I292">
        <v>5200</v>
      </c>
      <c r="J292">
        <v>7.0000000000000007E-2</v>
      </c>
      <c r="K292" t="s">
        <v>38</v>
      </c>
      <c r="L292" t="s">
        <v>19</v>
      </c>
      <c r="M292" t="s">
        <v>234</v>
      </c>
      <c r="N292">
        <f>SalesTable[[#This Row],[الكمية]]*SalesTable[[#This Row],[سعر الوحدة]]</f>
        <v>31200</v>
      </c>
      <c r="O292">
        <f>SalesTable[[#This Row],[الكمية]]*SalesTable[[#This Row],[سعر الوحدة]]*(1-SalesTable[[#This Row],[الخصم]])</f>
        <v>29015.999999999996</v>
      </c>
    </row>
    <row r="293" spans="1:15" x14ac:dyDescent="0.3">
      <c r="A293">
        <v>10292</v>
      </c>
      <c r="B293" t="s">
        <v>112</v>
      </c>
      <c r="C293" s="3">
        <v>46214</v>
      </c>
      <c r="D293" t="s">
        <v>70</v>
      </c>
      <c r="E293" t="s">
        <v>46</v>
      </c>
      <c r="F293" t="s">
        <v>16</v>
      </c>
      <c r="G293" t="s">
        <v>96</v>
      </c>
      <c r="H293">
        <v>5</v>
      </c>
      <c r="I293">
        <v>1800</v>
      </c>
      <c r="J293">
        <v>0</v>
      </c>
      <c r="K293" t="s">
        <v>55</v>
      </c>
      <c r="L293" t="s">
        <v>47</v>
      </c>
      <c r="M293" t="s">
        <v>97</v>
      </c>
      <c r="N293">
        <f>SalesTable[[#This Row],[الكمية]]*SalesTable[[#This Row],[سعر الوحدة]]</f>
        <v>9000</v>
      </c>
      <c r="O293">
        <f>SalesTable[[#This Row],[الكمية]]*SalesTable[[#This Row],[سعر الوحدة]]*(1-SalesTable[[#This Row],[الخصم]])</f>
        <v>9000</v>
      </c>
    </row>
    <row r="294" spans="1:15" x14ac:dyDescent="0.3">
      <c r="A294">
        <v>10293</v>
      </c>
      <c r="B294" t="s">
        <v>62</v>
      </c>
      <c r="C294" s="3">
        <v>46348</v>
      </c>
      <c r="D294" t="s">
        <v>95</v>
      </c>
      <c r="E294" t="s">
        <v>15</v>
      </c>
      <c r="F294" t="s">
        <v>64</v>
      </c>
      <c r="G294" t="s">
        <v>65</v>
      </c>
      <c r="H294">
        <v>7</v>
      </c>
      <c r="I294">
        <v>5200</v>
      </c>
      <c r="J294">
        <v>0.03</v>
      </c>
      <c r="K294" t="s">
        <v>55</v>
      </c>
      <c r="L294" t="s">
        <v>26</v>
      </c>
      <c r="M294" t="s">
        <v>253</v>
      </c>
      <c r="N294">
        <f>SalesTable[[#This Row],[الكمية]]*SalesTable[[#This Row],[سعر الوحدة]]</f>
        <v>36400</v>
      </c>
      <c r="O294">
        <f>SalesTable[[#This Row],[الكمية]]*SalesTable[[#This Row],[سعر الوحدة]]*(1-SalesTable[[#This Row],[الخصم]])</f>
        <v>35308</v>
      </c>
    </row>
    <row r="295" spans="1:15" x14ac:dyDescent="0.3">
      <c r="A295">
        <v>10294</v>
      </c>
      <c r="B295" t="s">
        <v>94</v>
      </c>
      <c r="C295" s="3">
        <v>46050</v>
      </c>
      <c r="D295" t="s">
        <v>110</v>
      </c>
      <c r="E295" t="s">
        <v>46</v>
      </c>
      <c r="F295" t="s">
        <v>64</v>
      </c>
      <c r="G295" t="s">
        <v>184</v>
      </c>
      <c r="H295">
        <v>6</v>
      </c>
      <c r="I295">
        <v>450</v>
      </c>
      <c r="J295">
        <v>7.0000000000000007E-2</v>
      </c>
      <c r="K295" t="s">
        <v>38</v>
      </c>
      <c r="L295" t="s">
        <v>19</v>
      </c>
      <c r="M295" t="s">
        <v>82</v>
      </c>
      <c r="N295">
        <f>SalesTable[[#This Row],[الكمية]]*SalesTable[[#This Row],[سعر الوحدة]]</f>
        <v>2700</v>
      </c>
      <c r="O295">
        <f>SalesTable[[#This Row],[الكمية]]*SalesTable[[#This Row],[سعر الوحدة]]*(1-SalesTable[[#This Row],[الخصم]])</f>
        <v>2511</v>
      </c>
    </row>
    <row r="296" spans="1:15" x14ac:dyDescent="0.3">
      <c r="A296">
        <v>10295</v>
      </c>
      <c r="B296" t="s">
        <v>62</v>
      </c>
      <c r="C296" s="3">
        <v>46232</v>
      </c>
      <c r="D296" t="s">
        <v>37</v>
      </c>
      <c r="E296" t="s">
        <v>23</v>
      </c>
      <c r="F296" t="s">
        <v>31</v>
      </c>
      <c r="G296" t="s">
        <v>32</v>
      </c>
      <c r="H296">
        <v>9</v>
      </c>
      <c r="I296">
        <v>32000</v>
      </c>
      <c r="J296">
        <v>0.1</v>
      </c>
      <c r="K296" t="s">
        <v>33</v>
      </c>
      <c r="L296" t="s">
        <v>47</v>
      </c>
      <c r="M296" t="s">
        <v>172</v>
      </c>
      <c r="N296">
        <f>SalesTable[[#This Row],[الكمية]]*SalesTable[[#This Row],[سعر الوحدة]]</f>
        <v>288000</v>
      </c>
      <c r="O296">
        <f>SalesTable[[#This Row],[الكمية]]*SalesTable[[#This Row],[سعر الوحدة]]*(1-SalesTable[[#This Row],[الخصم]])</f>
        <v>259200</v>
      </c>
    </row>
    <row r="297" spans="1:15" x14ac:dyDescent="0.3">
      <c r="A297">
        <v>10296</v>
      </c>
      <c r="B297" t="s">
        <v>13</v>
      </c>
      <c r="C297" s="3">
        <v>46172</v>
      </c>
      <c r="D297" t="s">
        <v>48</v>
      </c>
      <c r="E297" t="s">
        <v>30</v>
      </c>
      <c r="F297" t="s">
        <v>64</v>
      </c>
      <c r="G297" t="s">
        <v>71</v>
      </c>
      <c r="H297">
        <v>10</v>
      </c>
      <c r="I297">
        <v>9000</v>
      </c>
      <c r="J297">
        <v>0</v>
      </c>
      <c r="K297" t="s">
        <v>18</v>
      </c>
      <c r="L297" t="s">
        <v>34</v>
      </c>
      <c r="M297" t="s">
        <v>259</v>
      </c>
      <c r="N297">
        <f>SalesTable[[#This Row],[الكمية]]*SalesTable[[#This Row],[سعر الوحدة]]</f>
        <v>90000</v>
      </c>
      <c r="O297">
        <f>SalesTable[[#This Row],[الكمية]]*SalesTable[[#This Row],[سعر الوحدة]]*(1-SalesTable[[#This Row],[الخصم]])</f>
        <v>90000</v>
      </c>
    </row>
    <row r="298" spans="1:15" x14ac:dyDescent="0.3">
      <c r="A298">
        <v>10297</v>
      </c>
      <c r="B298" t="s">
        <v>62</v>
      </c>
      <c r="C298" s="3">
        <v>46304</v>
      </c>
      <c r="D298" t="s">
        <v>53</v>
      </c>
      <c r="E298" t="s">
        <v>15</v>
      </c>
      <c r="F298" t="s">
        <v>87</v>
      </c>
      <c r="G298" t="s">
        <v>101</v>
      </c>
      <c r="H298">
        <v>8</v>
      </c>
      <c r="I298">
        <v>3200</v>
      </c>
      <c r="J298">
        <v>0.1</v>
      </c>
      <c r="K298" t="s">
        <v>18</v>
      </c>
      <c r="L298" t="s">
        <v>19</v>
      </c>
      <c r="M298" t="s">
        <v>250</v>
      </c>
      <c r="N298">
        <f>SalesTable[[#This Row],[الكمية]]*SalesTable[[#This Row],[سعر الوحدة]]</f>
        <v>25600</v>
      </c>
      <c r="O298">
        <f>SalesTable[[#This Row],[الكمية]]*SalesTable[[#This Row],[سعر الوحدة]]*(1-SalesTable[[#This Row],[الخصم]])</f>
        <v>23040</v>
      </c>
    </row>
    <row r="299" spans="1:15" x14ac:dyDescent="0.3">
      <c r="A299">
        <v>10298</v>
      </c>
      <c r="B299" t="s">
        <v>62</v>
      </c>
      <c r="C299" s="3">
        <v>46302</v>
      </c>
      <c r="D299" t="s">
        <v>40</v>
      </c>
      <c r="E299" t="s">
        <v>41</v>
      </c>
      <c r="F299" t="s">
        <v>49</v>
      </c>
      <c r="G299" t="s">
        <v>122</v>
      </c>
      <c r="H299">
        <v>1</v>
      </c>
      <c r="I299">
        <v>150</v>
      </c>
      <c r="J299">
        <v>0.15</v>
      </c>
      <c r="K299" t="s">
        <v>55</v>
      </c>
      <c r="L299" t="s">
        <v>47</v>
      </c>
      <c r="M299" t="s">
        <v>264</v>
      </c>
      <c r="N299">
        <f>SalesTable[[#This Row],[الكمية]]*SalesTable[[#This Row],[سعر الوحدة]]</f>
        <v>150</v>
      </c>
      <c r="O299">
        <f>SalesTable[[#This Row],[الكمية]]*SalesTable[[#This Row],[سعر الوحدة]]*(1-SalesTable[[#This Row],[الخصم]])</f>
        <v>127.5</v>
      </c>
    </row>
    <row r="300" spans="1:15" x14ac:dyDescent="0.3">
      <c r="A300">
        <v>10299</v>
      </c>
      <c r="B300" t="s">
        <v>52</v>
      </c>
      <c r="C300" s="3">
        <v>46201</v>
      </c>
      <c r="D300" t="s">
        <v>81</v>
      </c>
      <c r="E300" t="s">
        <v>41</v>
      </c>
      <c r="F300" t="s">
        <v>31</v>
      </c>
      <c r="G300" t="s">
        <v>32</v>
      </c>
      <c r="H300">
        <v>1</v>
      </c>
      <c r="I300">
        <v>2200</v>
      </c>
      <c r="J300">
        <v>7.0000000000000007E-2</v>
      </c>
      <c r="K300" t="s">
        <v>18</v>
      </c>
      <c r="L300" t="s">
        <v>47</v>
      </c>
      <c r="M300" t="s">
        <v>151</v>
      </c>
      <c r="N300">
        <f>SalesTable[[#This Row],[الكمية]]*SalesTable[[#This Row],[سعر الوحدة]]</f>
        <v>2200</v>
      </c>
      <c r="O300">
        <f>SalesTable[[#This Row],[الكمية]]*SalesTable[[#This Row],[سعر الوحدة]]*(1-SalesTable[[#This Row],[الخصم]])</f>
        <v>2045.9999999999998</v>
      </c>
    </row>
    <row r="301" spans="1:15" x14ac:dyDescent="0.3">
      <c r="A301">
        <v>10300</v>
      </c>
      <c r="B301" t="s">
        <v>67</v>
      </c>
      <c r="C301" s="3">
        <v>46386</v>
      </c>
      <c r="D301" t="s">
        <v>40</v>
      </c>
      <c r="E301" t="s">
        <v>41</v>
      </c>
      <c r="F301" t="s">
        <v>31</v>
      </c>
      <c r="G301" t="s">
        <v>54</v>
      </c>
      <c r="H301">
        <v>10</v>
      </c>
      <c r="I301">
        <v>150</v>
      </c>
      <c r="J301">
        <v>0.15</v>
      </c>
      <c r="K301" t="s">
        <v>33</v>
      </c>
      <c r="L301" t="s">
        <v>26</v>
      </c>
      <c r="M301" t="s">
        <v>278</v>
      </c>
      <c r="N301">
        <f>SalesTable[[#This Row],[الكمية]]*SalesTable[[#This Row],[سعر الوحدة]]</f>
        <v>1500</v>
      </c>
      <c r="O301">
        <f>SalesTable[[#This Row],[الكمية]]*SalesTable[[#This Row],[سعر الوحدة]]*(1-SalesTable[[#This Row],[الخصم]])</f>
        <v>1275</v>
      </c>
    </row>
    <row r="302" spans="1:15" x14ac:dyDescent="0.3">
      <c r="A302">
        <v>10301</v>
      </c>
      <c r="B302" t="s">
        <v>67</v>
      </c>
      <c r="C302" s="3">
        <v>46295</v>
      </c>
      <c r="D302" t="s">
        <v>40</v>
      </c>
      <c r="E302" t="s">
        <v>41</v>
      </c>
      <c r="F302" t="s">
        <v>31</v>
      </c>
      <c r="G302" t="s">
        <v>54</v>
      </c>
      <c r="H302">
        <v>1</v>
      </c>
      <c r="I302">
        <v>150</v>
      </c>
      <c r="J302">
        <v>0.1</v>
      </c>
      <c r="K302" t="s">
        <v>38</v>
      </c>
      <c r="L302" t="s">
        <v>26</v>
      </c>
      <c r="M302" t="s">
        <v>141</v>
      </c>
      <c r="N302">
        <f>SalesTable[[#This Row],[الكمية]]*SalesTable[[#This Row],[سعر الوحدة]]</f>
        <v>150</v>
      </c>
      <c r="O302">
        <f>SalesTable[[#This Row],[الكمية]]*SalesTable[[#This Row],[سعر الوحدة]]*(1-SalesTable[[#This Row],[الخصم]])</f>
        <v>135</v>
      </c>
    </row>
    <row r="303" spans="1:15" x14ac:dyDescent="0.3">
      <c r="A303">
        <v>10302</v>
      </c>
      <c r="B303" t="s">
        <v>21</v>
      </c>
      <c r="C303" s="3">
        <v>46370</v>
      </c>
      <c r="D303" t="s">
        <v>81</v>
      </c>
      <c r="E303" t="s">
        <v>41</v>
      </c>
      <c r="F303" t="s">
        <v>87</v>
      </c>
      <c r="G303" t="s">
        <v>88</v>
      </c>
      <c r="H303">
        <v>10</v>
      </c>
      <c r="I303">
        <v>2200</v>
      </c>
      <c r="J303">
        <v>0.05</v>
      </c>
      <c r="K303" t="s">
        <v>18</v>
      </c>
      <c r="L303" t="s">
        <v>26</v>
      </c>
      <c r="M303" t="s">
        <v>194</v>
      </c>
      <c r="N303">
        <f>SalesTable[[#This Row],[الكمية]]*SalesTable[[#This Row],[سعر الوحدة]]</f>
        <v>22000</v>
      </c>
      <c r="O303">
        <f>SalesTable[[#This Row],[الكمية]]*SalesTable[[#This Row],[سعر الوحدة]]*(1-SalesTable[[#This Row],[الخصم]])</f>
        <v>20900</v>
      </c>
    </row>
    <row r="304" spans="1:15" x14ac:dyDescent="0.3">
      <c r="A304">
        <v>10303</v>
      </c>
      <c r="B304" t="s">
        <v>112</v>
      </c>
      <c r="C304" s="3">
        <v>46150</v>
      </c>
      <c r="D304" t="s">
        <v>90</v>
      </c>
      <c r="E304" t="s">
        <v>91</v>
      </c>
      <c r="F304" t="s">
        <v>24</v>
      </c>
      <c r="G304" t="s">
        <v>57</v>
      </c>
      <c r="H304">
        <v>3</v>
      </c>
      <c r="I304">
        <v>6500</v>
      </c>
      <c r="J304">
        <v>0.15</v>
      </c>
      <c r="K304" t="s">
        <v>55</v>
      </c>
      <c r="L304" t="s">
        <v>34</v>
      </c>
      <c r="M304" t="s">
        <v>78</v>
      </c>
      <c r="N304">
        <f>SalesTable[[#This Row],[الكمية]]*SalesTable[[#This Row],[سعر الوحدة]]</f>
        <v>19500</v>
      </c>
      <c r="O304">
        <f>SalesTable[[#This Row],[الكمية]]*SalesTable[[#This Row],[سعر الوحدة]]*(1-SalesTable[[#This Row],[الخصم]])</f>
        <v>16575</v>
      </c>
    </row>
    <row r="305" spans="1:15" x14ac:dyDescent="0.3">
      <c r="A305">
        <v>10304</v>
      </c>
      <c r="B305" t="s">
        <v>52</v>
      </c>
      <c r="C305" s="3">
        <v>46344</v>
      </c>
      <c r="D305" t="s">
        <v>40</v>
      </c>
      <c r="E305" t="s">
        <v>41</v>
      </c>
      <c r="F305" t="s">
        <v>84</v>
      </c>
      <c r="G305" t="s">
        <v>85</v>
      </c>
      <c r="H305">
        <v>3</v>
      </c>
      <c r="I305">
        <v>150</v>
      </c>
      <c r="J305">
        <v>0.1</v>
      </c>
      <c r="K305" t="s">
        <v>33</v>
      </c>
      <c r="L305" t="s">
        <v>47</v>
      </c>
      <c r="M305" t="s">
        <v>279</v>
      </c>
      <c r="N305">
        <f>SalesTable[[#This Row],[الكمية]]*SalesTable[[#This Row],[سعر الوحدة]]</f>
        <v>450</v>
      </c>
      <c r="O305">
        <f>SalesTable[[#This Row],[الكمية]]*SalesTable[[#This Row],[سعر الوحدة]]*(1-SalesTable[[#This Row],[الخصم]])</f>
        <v>405</v>
      </c>
    </row>
    <row r="306" spans="1:15" x14ac:dyDescent="0.3">
      <c r="A306">
        <v>10305</v>
      </c>
      <c r="B306" t="s">
        <v>52</v>
      </c>
      <c r="C306" s="3">
        <v>46378</v>
      </c>
      <c r="D306" t="s">
        <v>104</v>
      </c>
      <c r="E306" t="s">
        <v>23</v>
      </c>
      <c r="F306" t="s">
        <v>16</v>
      </c>
      <c r="G306" t="s">
        <v>189</v>
      </c>
      <c r="H306">
        <v>9</v>
      </c>
      <c r="I306">
        <v>28000</v>
      </c>
      <c r="J306">
        <v>0.15</v>
      </c>
      <c r="K306" t="s">
        <v>38</v>
      </c>
      <c r="L306" t="s">
        <v>47</v>
      </c>
      <c r="M306" t="s">
        <v>256</v>
      </c>
      <c r="N306">
        <f>SalesTable[[#This Row],[الكمية]]*SalesTable[[#This Row],[سعر الوحدة]]</f>
        <v>252000</v>
      </c>
      <c r="O306">
        <f>SalesTable[[#This Row],[الكمية]]*SalesTable[[#This Row],[سعر الوحدة]]*(1-SalesTable[[#This Row],[الخصم]])</f>
        <v>214200</v>
      </c>
    </row>
    <row r="307" spans="1:15" x14ac:dyDescent="0.3">
      <c r="A307">
        <v>10306</v>
      </c>
      <c r="B307" t="s">
        <v>67</v>
      </c>
      <c r="C307" s="3">
        <v>46055</v>
      </c>
      <c r="D307" t="s">
        <v>70</v>
      </c>
      <c r="E307" t="s">
        <v>46</v>
      </c>
      <c r="F307" t="s">
        <v>24</v>
      </c>
      <c r="G307" t="s">
        <v>25</v>
      </c>
      <c r="H307">
        <v>8</v>
      </c>
      <c r="I307">
        <v>1800</v>
      </c>
      <c r="J307">
        <v>0.15</v>
      </c>
      <c r="K307" t="s">
        <v>33</v>
      </c>
      <c r="L307" t="s">
        <v>26</v>
      </c>
      <c r="M307" t="s">
        <v>135</v>
      </c>
      <c r="N307">
        <f>SalesTable[[#This Row],[الكمية]]*SalesTable[[#This Row],[سعر الوحدة]]</f>
        <v>14400</v>
      </c>
      <c r="O307">
        <f>SalesTable[[#This Row],[الكمية]]*SalesTable[[#This Row],[سعر الوحدة]]*(1-SalesTable[[#This Row],[الخصم]])</f>
        <v>12240</v>
      </c>
    </row>
    <row r="308" spans="1:15" x14ac:dyDescent="0.3">
      <c r="A308">
        <v>10307</v>
      </c>
      <c r="B308" t="s">
        <v>52</v>
      </c>
      <c r="C308" s="3">
        <v>46195</v>
      </c>
      <c r="D308" t="s">
        <v>68</v>
      </c>
      <c r="E308" t="s">
        <v>46</v>
      </c>
      <c r="F308" t="s">
        <v>31</v>
      </c>
      <c r="G308" t="s">
        <v>32</v>
      </c>
      <c r="H308">
        <v>5</v>
      </c>
      <c r="I308">
        <v>1400</v>
      </c>
      <c r="J308">
        <v>0.05</v>
      </c>
      <c r="K308" t="s">
        <v>55</v>
      </c>
      <c r="L308" t="s">
        <v>47</v>
      </c>
      <c r="M308" t="s">
        <v>280</v>
      </c>
      <c r="N308">
        <f>SalesTable[[#This Row],[الكمية]]*SalesTable[[#This Row],[سعر الوحدة]]</f>
        <v>7000</v>
      </c>
      <c r="O308">
        <f>SalesTable[[#This Row],[الكمية]]*SalesTable[[#This Row],[سعر الوحدة]]*(1-SalesTable[[#This Row],[الخصم]])</f>
        <v>6650</v>
      </c>
    </row>
    <row r="309" spans="1:15" x14ac:dyDescent="0.3">
      <c r="A309">
        <v>10308</v>
      </c>
      <c r="B309" t="s">
        <v>62</v>
      </c>
      <c r="C309" s="3">
        <v>46031</v>
      </c>
      <c r="D309" t="s">
        <v>90</v>
      </c>
      <c r="E309" t="s">
        <v>91</v>
      </c>
      <c r="F309" t="s">
        <v>24</v>
      </c>
      <c r="G309" t="s">
        <v>25</v>
      </c>
      <c r="H309">
        <v>2</v>
      </c>
      <c r="I309">
        <v>6500</v>
      </c>
      <c r="J309">
        <v>0.15</v>
      </c>
      <c r="K309" t="s">
        <v>18</v>
      </c>
      <c r="L309" t="s">
        <v>26</v>
      </c>
      <c r="M309" t="s">
        <v>169</v>
      </c>
      <c r="N309">
        <f>SalesTable[[#This Row],[الكمية]]*SalesTable[[#This Row],[سعر الوحدة]]</f>
        <v>13000</v>
      </c>
      <c r="O309">
        <f>SalesTable[[#This Row],[الكمية]]*SalesTable[[#This Row],[سعر الوحدة]]*(1-SalesTable[[#This Row],[الخصم]])</f>
        <v>11050</v>
      </c>
    </row>
    <row r="310" spans="1:15" x14ac:dyDescent="0.3">
      <c r="A310">
        <v>10309</v>
      </c>
      <c r="B310" t="s">
        <v>112</v>
      </c>
      <c r="C310" s="3">
        <v>46355</v>
      </c>
      <c r="D310" t="s">
        <v>48</v>
      </c>
      <c r="E310" t="s">
        <v>30</v>
      </c>
      <c r="F310" t="s">
        <v>24</v>
      </c>
      <c r="G310" t="s">
        <v>42</v>
      </c>
      <c r="H310">
        <v>4</v>
      </c>
      <c r="I310">
        <v>9000</v>
      </c>
      <c r="J310">
        <v>0.15</v>
      </c>
      <c r="K310" t="s">
        <v>38</v>
      </c>
      <c r="L310" t="s">
        <v>26</v>
      </c>
      <c r="M310" t="s">
        <v>224</v>
      </c>
      <c r="N310">
        <f>SalesTable[[#This Row],[الكمية]]*SalesTable[[#This Row],[سعر الوحدة]]</f>
        <v>36000</v>
      </c>
      <c r="O310">
        <f>SalesTable[[#This Row],[الكمية]]*SalesTable[[#This Row],[سعر الوحدة]]*(1-SalesTable[[#This Row],[الخصم]])</f>
        <v>30600</v>
      </c>
    </row>
    <row r="311" spans="1:15" x14ac:dyDescent="0.3">
      <c r="A311">
        <v>10310</v>
      </c>
      <c r="B311" t="s">
        <v>112</v>
      </c>
      <c r="C311" s="3">
        <v>46049</v>
      </c>
      <c r="D311" t="s">
        <v>104</v>
      </c>
      <c r="E311" t="s">
        <v>23</v>
      </c>
      <c r="F311" t="s">
        <v>49</v>
      </c>
      <c r="G311" t="s">
        <v>98</v>
      </c>
      <c r="H311">
        <v>2</v>
      </c>
      <c r="I311">
        <v>28000</v>
      </c>
      <c r="J311">
        <v>0.05</v>
      </c>
      <c r="K311" t="s">
        <v>33</v>
      </c>
      <c r="L311" t="s">
        <v>34</v>
      </c>
      <c r="M311" t="s">
        <v>281</v>
      </c>
      <c r="N311">
        <f>SalesTable[[#This Row],[الكمية]]*SalesTable[[#This Row],[سعر الوحدة]]</f>
        <v>56000</v>
      </c>
      <c r="O311">
        <f>SalesTable[[#This Row],[الكمية]]*SalesTable[[#This Row],[سعر الوحدة]]*(1-SalesTable[[#This Row],[الخصم]])</f>
        <v>53200</v>
      </c>
    </row>
    <row r="312" spans="1:15" x14ac:dyDescent="0.3">
      <c r="A312">
        <v>10311</v>
      </c>
      <c r="B312" t="s">
        <v>62</v>
      </c>
      <c r="C312" s="3">
        <v>46062</v>
      </c>
      <c r="D312" t="s">
        <v>29</v>
      </c>
      <c r="E312" t="s">
        <v>30</v>
      </c>
      <c r="F312" t="s">
        <v>16</v>
      </c>
      <c r="G312" t="s">
        <v>17</v>
      </c>
      <c r="H312">
        <v>1</v>
      </c>
      <c r="I312">
        <v>7500</v>
      </c>
      <c r="J312">
        <v>0.03</v>
      </c>
      <c r="K312" t="s">
        <v>55</v>
      </c>
      <c r="L312" t="s">
        <v>26</v>
      </c>
      <c r="M312" t="s">
        <v>226</v>
      </c>
      <c r="N312">
        <f>SalesTable[[#This Row],[الكمية]]*SalesTable[[#This Row],[سعر الوحدة]]</f>
        <v>7500</v>
      </c>
      <c r="O312">
        <f>SalesTable[[#This Row],[الكمية]]*SalesTable[[#This Row],[سعر الوحدة]]*(1-SalesTable[[#This Row],[الخصم]])</f>
        <v>7275</v>
      </c>
    </row>
    <row r="313" spans="1:15" x14ac:dyDescent="0.3">
      <c r="A313">
        <v>10312</v>
      </c>
      <c r="B313" t="s">
        <v>67</v>
      </c>
      <c r="C313" s="3">
        <v>46084</v>
      </c>
      <c r="D313" t="s">
        <v>14</v>
      </c>
      <c r="E313" t="s">
        <v>15</v>
      </c>
      <c r="F313" t="s">
        <v>59</v>
      </c>
      <c r="G313" t="s">
        <v>60</v>
      </c>
      <c r="H313">
        <v>1</v>
      </c>
      <c r="I313">
        <v>650</v>
      </c>
      <c r="J313">
        <v>0.15</v>
      </c>
      <c r="K313" t="s">
        <v>33</v>
      </c>
      <c r="L313" t="s">
        <v>26</v>
      </c>
      <c r="M313" t="s">
        <v>132</v>
      </c>
      <c r="N313">
        <f>SalesTable[[#This Row],[الكمية]]*SalesTable[[#This Row],[سعر الوحدة]]</f>
        <v>650</v>
      </c>
      <c r="O313">
        <f>SalesTable[[#This Row],[الكمية]]*SalesTable[[#This Row],[سعر الوحدة]]*(1-SalesTable[[#This Row],[الخصم]])</f>
        <v>552.5</v>
      </c>
    </row>
    <row r="314" spans="1:15" x14ac:dyDescent="0.3">
      <c r="A314">
        <v>10313</v>
      </c>
      <c r="B314" t="s">
        <v>44</v>
      </c>
      <c r="C314" s="3">
        <v>46075</v>
      </c>
      <c r="D314" t="s">
        <v>104</v>
      </c>
      <c r="E314" t="s">
        <v>23</v>
      </c>
      <c r="F314" t="s">
        <v>31</v>
      </c>
      <c r="G314" t="s">
        <v>32</v>
      </c>
      <c r="H314">
        <v>2</v>
      </c>
      <c r="I314">
        <v>28000</v>
      </c>
      <c r="J314">
        <v>0.15</v>
      </c>
      <c r="K314" t="s">
        <v>38</v>
      </c>
      <c r="L314" t="s">
        <v>34</v>
      </c>
      <c r="M314" t="s">
        <v>249</v>
      </c>
      <c r="N314">
        <f>SalesTable[[#This Row],[الكمية]]*SalesTable[[#This Row],[سعر الوحدة]]</f>
        <v>56000</v>
      </c>
      <c r="O314">
        <f>SalesTable[[#This Row],[الكمية]]*SalesTable[[#This Row],[سعر الوحدة]]*(1-SalesTable[[#This Row],[الخصم]])</f>
        <v>47600</v>
      </c>
    </row>
    <row r="315" spans="1:15" x14ac:dyDescent="0.3">
      <c r="A315">
        <v>10314</v>
      </c>
      <c r="B315" t="s">
        <v>21</v>
      </c>
      <c r="C315" s="3">
        <v>46311</v>
      </c>
      <c r="D315" t="s">
        <v>37</v>
      </c>
      <c r="E315" t="s">
        <v>23</v>
      </c>
      <c r="F315" t="s">
        <v>84</v>
      </c>
      <c r="G315" t="s">
        <v>120</v>
      </c>
      <c r="H315">
        <v>3</v>
      </c>
      <c r="I315">
        <v>32000</v>
      </c>
      <c r="J315">
        <v>0</v>
      </c>
      <c r="K315" t="s">
        <v>18</v>
      </c>
      <c r="L315" t="s">
        <v>26</v>
      </c>
      <c r="M315" t="s">
        <v>169</v>
      </c>
      <c r="N315">
        <f>SalesTable[[#This Row],[الكمية]]*SalesTable[[#This Row],[سعر الوحدة]]</f>
        <v>96000</v>
      </c>
      <c r="O315">
        <f>SalesTable[[#This Row],[الكمية]]*SalesTable[[#This Row],[سعر الوحدة]]*(1-SalesTable[[#This Row],[الخصم]])</f>
        <v>96000</v>
      </c>
    </row>
    <row r="316" spans="1:15" x14ac:dyDescent="0.3">
      <c r="A316">
        <v>10315</v>
      </c>
      <c r="B316" t="s">
        <v>94</v>
      </c>
      <c r="C316" s="3">
        <v>46374</v>
      </c>
      <c r="D316" t="s">
        <v>70</v>
      </c>
      <c r="E316" t="s">
        <v>46</v>
      </c>
      <c r="F316" t="s">
        <v>31</v>
      </c>
      <c r="G316" t="s">
        <v>77</v>
      </c>
      <c r="H316">
        <v>3</v>
      </c>
      <c r="I316">
        <v>1800</v>
      </c>
      <c r="J316">
        <v>7.0000000000000007E-2</v>
      </c>
      <c r="K316" t="s">
        <v>33</v>
      </c>
      <c r="L316" t="s">
        <v>26</v>
      </c>
      <c r="M316" t="s">
        <v>282</v>
      </c>
      <c r="N316">
        <f>SalesTable[[#This Row],[الكمية]]*SalesTable[[#This Row],[سعر الوحدة]]</f>
        <v>5400</v>
      </c>
      <c r="O316">
        <f>SalesTable[[#This Row],[الكمية]]*SalesTable[[#This Row],[سعر الوحدة]]*(1-SalesTable[[#This Row],[الخصم]])</f>
        <v>5022</v>
      </c>
    </row>
    <row r="317" spans="1:15" x14ac:dyDescent="0.3">
      <c r="A317">
        <v>10316</v>
      </c>
      <c r="B317" t="s">
        <v>36</v>
      </c>
      <c r="C317" s="3">
        <v>46202</v>
      </c>
      <c r="D317" t="s">
        <v>90</v>
      </c>
      <c r="E317" t="s">
        <v>91</v>
      </c>
      <c r="F317" t="s">
        <v>16</v>
      </c>
      <c r="G317" t="s">
        <v>96</v>
      </c>
      <c r="H317">
        <v>2</v>
      </c>
      <c r="I317">
        <v>6500</v>
      </c>
      <c r="J317">
        <v>0.1</v>
      </c>
      <c r="K317" t="s">
        <v>33</v>
      </c>
      <c r="L317" t="s">
        <v>34</v>
      </c>
      <c r="M317" t="s">
        <v>278</v>
      </c>
      <c r="N317">
        <f>SalesTable[[#This Row],[الكمية]]*SalesTable[[#This Row],[سعر الوحدة]]</f>
        <v>13000</v>
      </c>
      <c r="O317">
        <f>SalesTable[[#This Row],[الكمية]]*SalesTable[[#This Row],[سعر الوحدة]]*(1-SalesTable[[#This Row],[الخصم]])</f>
        <v>11700</v>
      </c>
    </row>
    <row r="318" spans="1:15" x14ac:dyDescent="0.3">
      <c r="A318">
        <v>10317</v>
      </c>
      <c r="B318" t="s">
        <v>21</v>
      </c>
      <c r="C318" s="3">
        <v>46330</v>
      </c>
      <c r="D318" t="s">
        <v>45</v>
      </c>
      <c r="E318" t="s">
        <v>46</v>
      </c>
      <c r="F318" t="s">
        <v>87</v>
      </c>
      <c r="G318" t="s">
        <v>103</v>
      </c>
      <c r="H318">
        <v>2</v>
      </c>
      <c r="I318">
        <v>1200</v>
      </c>
      <c r="J318">
        <v>0.03</v>
      </c>
      <c r="K318" t="s">
        <v>38</v>
      </c>
      <c r="L318" t="s">
        <v>19</v>
      </c>
      <c r="M318" t="s">
        <v>283</v>
      </c>
      <c r="N318">
        <f>SalesTable[[#This Row],[الكمية]]*SalesTable[[#This Row],[سعر الوحدة]]</f>
        <v>2400</v>
      </c>
      <c r="O318">
        <f>SalesTable[[#This Row],[الكمية]]*SalesTable[[#This Row],[سعر الوحدة]]*(1-SalesTable[[#This Row],[الخصم]])</f>
        <v>2328</v>
      </c>
    </row>
    <row r="319" spans="1:15" x14ac:dyDescent="0.3">
      <c r="A319">
        <v>10318</v>
      </c>
      <c r="B319" t="s">
        <v>28</v>
      </c>
      <c r="C319" s="3">
        <v>46145</v>
      </c>
      <c r="D319" t="s">
        <v>45</v>
      </c>
      <c r="E319" t="s">
        <v>46</v>
      </c>
      <c r="F319" t="s">
        <v>31</v>
      </c>
      <c r="G319" t="s">
        <v>77</v>
      </c>
      <c r="H319">
        <v>7</v>
      </c>
      <c r="I319">
        <v>1200</v>
      </c>
      <c r="J319">
        <v>0.05</v>
      </c>
      <c r="K319" t="s">
        <v>33</v>
      </c>
      <c r="L319" t="s">
        <v>47</v>
      </c>
      <c r="M319" t="s">
        <v>108</v>
      </c>
      <c r="N319">
        <f>SalesTable[[#This Row],[الكمية]]*SalesTable[[#This Row],[سعر الوحدة]]</f>
        <v>8400</v>
      </c>
      <c r="O319">
        <f>SalesTable[[#This Row],[الكمية]]*SalesTable[[#This Row],[سعر الوحدة]]*(1-SalesTable[[#This Row],[الخصم]])</f>
        <v>7980</v>
      </c>
    </row>
    <row r="320" spans="1:15" x14ac:dyDescent="0.3">
      <c r="A320">
        <v>10319</v>
      </c>
      <c r="B320" t="s">
        <v>21</v>
      </c>
      <c r="C320" s="3">
        <v>46029</v>
      </c>
      <c r="D320" t="s">
        <v>45</v>
      </c>
      <c r="E320" t="s">
        <v>46</v>
      </c>
      <c r="F320" t="s">
        <v>59</v>
      </c>
      <c r="G320" t="s">
        <v>75</v>
      </c>
      <c r="H320">
        <v>10</v>
      </c>
      <c r="I320">
        <v>1200</v>
      </c>
      <c r="J320">
        <v>0</v>
      </c>
      <c r="K320" t="s">
        <v>38</v>
      </c>
      <c r="L320" t="s">
        <v>34</v>
      </c>
      <c r="M320" t="s">
        <v>99</v>
      </c>
      <c r="N320">
        <f>SalesTable[[#This Row],[الكمية]]*SalesTable[[#This Row],[سعر الوحدة]]</f>
        <v>12000</v>
      </c>
      <c r="O320">
        <f>SalesTable[[#This Row],[الكمية]]*SalesTable[[#This Row],[سعر الوحدة]]*(1-SalesTable[[#This Row],[الخصم]])</f>
        <v>12000</v>
      </c>
    </row>
    <row r="321" spans="1:15" x14ac:dyDescent="0.3">
      <c r="A321">
        <v>10320</v>
      </c>
      <c r="B321" t="s">
        <v>112</v>
      </c>
      <c r="C321" s="3">
        <v>46264</v>
      </c>
      <c r="D321" t="s">
        <v>29</v>
      </c>
      <c r="E321" t="s">
        <v>30</v>
      </c>
      <c r="F321" t="s">
        <v>84</v>
      </c>
      <c r="G321" t="s">
        <v>85</v>
      </c>
      <c r="H321">
        <v>9</v>
      </c>
      <c r="I321">
        <v>7500</v>
      </c>
      <c r="J321">
        <v>0.15</v>
      </c>
      <c r="K321" t="s">
        <v>18</v>
      </c>
      <c r="L321" t="s">
        <v>19</v>
      </c>
      <c r="M321" t="s">
        <v>220</v>
      </c>
      <c r="N321">
        <f>SalesTable[[#This Row],[الكمية]]*SalesTable[[#This Row],[سعر الوحدة]]</f>
        <v>67500</v>
      </c>
      <c r="O321">
        <f>SalesTable[[#This Row],[الكمية]]*SalesTable[[#This Row],[سعر الوحدة]]*(1-SalesTable[[#This Row],[الخصم]])</f>
        <v>57375</v>
      </c>
    </row>
    <row r="322" spans="1:15" x14ac:dyDescent="0.3">
      <c r="A322">
        <v>10321</v>
      </c>
      <c r="B322" t="s">
        <v>36</v>
      </c>
      <c r="C322" s="3">
        <v>46282</v>
      </c>
      <c r="D322" t="s">
        <v>22</v>
      </c>
      <c r="E322" t="s">
        <v>23</v>
      </c>
      <c r="F322" t="s">
        <v>87</v>
      </c>
      <c r="G322" t="s">
        <v>101</v>
      </c>
      <c r="H322">
        <v>1</v>
      </c>
      <c r="I322">
        <v>25000</v>
      </c>
      <c r="J322">
        <v>0</v>
      </c>
      <c r="K322" t="s">
        <v>38</v>
      </c>
      <c r="L322" t="s">
        <v>47</v>
      </c>
      <c r="M322" t="s">
        <v>20</v>
      </c>
      <c r="N322">
        <f>SalesTable[[#This Row],[الكمية]]*SalesTable[[#This Row],[سعر الوحدة]]</f>
        <v>25000</v>
      </c>
      <c r="O322">
        <f>SalesTable[[#This Row],[الكمية]]*SalesTable[[#This Row],[سعر الوحدة]]*(1-SalesTable[[#This Row],[الخصم]])</f>
        <v>25000</v>
      </c>
    </row>
    <row r="323" spans="1:15" x14ac:dyDescent="0.3">
      <c r="A323">
        <v>10322</v>
      </c>
      <c r="B323" t="s">
        <v>94</v>
      </c>
      <c r="C323" s="3">
        <v>46101</v>
      </c>
      <c r="D323" t="s">
        <v>81</v>
      </c>
      <c r="E323" t="s">
        <v>41</v>
      </c>
      <c r="F323" t="s">
        <v>84</v>
      </c>
      <c r="G323" t="s">
        <v>120</v>
      </c>
      <c r="H323">
        <v>9</v>
      </c>
      <c r="I323">
        <v>2200</v>
      </c>
      <c r="J323">
        <v>0.1</v>
      </c>
      <c r="K323" t="s">
        <v>38</v>
      </c>
      <c r="L323" t="s">
        <v>19</v>
      </c>
      <c r="M323" t="s">
        <v>202</v>
      </c>
      <c r="N323">
        <f>SalesTable[[#This Row],[الكمية]]*SalesTable[[#This Row],[سعر الوحدة]]</f>
        <v>19800</v>
      </c>
      <c r="O323">
        <f>SalesTable[[#This Row],[الكمية]]*SalesTable[[#This Row],[سعر الوحدة]]*(1-SalesTable[[#This Row],[الخصم]])</f>
        <v>17820</v>
      </c>
    </row>
    <row r="324" spans="1:15" x14ac:dyDescent="0.3">
      <c r="A324">
        <v>10323</v>
      </c>
      <c r="B324" t="s">
        <v>36</v>
      </c>
      <c r="C324" s="3">
        <v>46323</v>
      </c>
      <c r="D324" t="s">
        <v>104</v>
      </c>
      <c r="E324" t="s">
        <v>23</v>
      </c>
      <c r="F324" t="s">
        <v>31</v>
      </c>
      <c r="G324" t="s">
        <v>54</v>
      </c>
      <c r="H324">
        <v>9</v>
      </c>
      <c r="I324">
        <v>28000</v>
      </c>
      <c r="J324">
        <v>0.05</v>
      </c>
      <c r="K324" t="s">
        <v>18</v>
      </c>
      <c r="L324" t="s">
        <v>34</v>
      </c>
      <c r="M324" t="s">
        <v>200</v>
      </c>
      <c r="N324">
        <f>SalesTable[[#This Row],[الكمية]]*SalesTable[[#This Row],[سعر الوحدة]]</f>
        <v>252000</v>
      </c>
      <c r="O324">
        <f>SalesTable[[#This Row],[الكمية]]*SalesTable[[#This Row],[سعر الوحدة]]*(1-SalesTable[[#This Row],[الخصم]])</f>
        <v>239400</v>
      </c>
    </row>
    <row r="325" spans="1:15" x14ac:dyDescent="0.3">
      <c r="A325">
        <v>10324</v>
      </c>
      <c r="B325" t="s">
        <v>36</v>
      </c>
      <c r="C325" s="3">
        <v>46082</v>
      </c>
      <c r="D325" t="s">
        <v>81</v>
      </c>
      <c r="E325" t="s">
        <v>41</v>
      </c>
      <c r="F325" t="s">
        <v>31</v>
      </c>
      <c r="G325" t="s">
        <v>54</v>
      </c>
      <c r="H325">
        <v>4</v>
      </c>
      <c r="I325">
        <v>2200</v>
      </c>
      <c r="J325">
        <v>0</v>
      </c>
      <c r="K325" t="s">
        <v>33</v>
      </c>
      <c r="L325" t="s">
        <v>19</v>
      </c>
      <c r="M325" t="s">
        <v>202</v>
      </c>
      <c r="N325">
        <f>SalesTable[[#This Row],[الكمية]]*SalesTable[[#This Row],[سعر الوحدة]]</f>
        <v>8800</v>
      </c>
      <c r="O325">
        <f>SalesTable[[#This Row],[الكمية]]*SalesTable[[#This Row],[سعر الوحدة]]*(1-SalesTable[[#This Row],[الخصم]])</f>
        <v>8800</v>
      </c>
    </row>
    <row r="326" spans="1:15" x14ac:dyDescent="0.3">
      <c r="A326">
        <v>10325</v>
      </c>
      <c r="B326" t="s">
        <v>112</v>
      </c>
      <c r="C326" s="3">
        <v>46382</v>
      </c>
      <c r="D326" t="s">
        <v>14</v>
      </c>
      <c r="E326" t="s">
        <v>15</v>
      </c>
      <c r="F326" t="s">
        <v>64</v>
      </c>
      <c r="G326" t="s">
        <v>71</v>
      </c>
      <c r="H326">
        <v>1</v>
      </c>
      <c r="I326">
        <v>650</v>
      </c>
      <c r="J326">
        <v>0.15</v>
      </c>
      <c r="K326" t="s">
        <v>18</v>
      </c>
      <c r="L326" t="s">
        <v>26</v>
      </c>
      <c r="M326" t="s">
        <v>233</v>
      </c>
      <c r="N326">
        <f>SalesTable[[#This Row],[الكمية]]*SalesTable[[#This Row],[سعر الوحدة]]</f>
        <v>650</v>
      </c>
      <c r="O326">
        <f>SalesTable[[#This Row],[الكمية]]*SalesTable[[#This Row],[سعر الوحدة]]*(1-SalesTable[[#This Row],[الخصم]])</f>
        <v>552.5</v>
      </c>
    </row>
    <row r="327" spans="1:15" x14ac:dyDescent="0.3">
      <c r="A327">
        <v>10326</v>
      </c>
      <c r="B327" t="s">
        <v>52</v>
      </c>
      <c r="C327" s="3">
        <v>46083</v>
      </c>
      <c r="D327" t="s">
        <v>70</v>
      </c>
      <c r="E327" t="s">
        <v>46</v>
      </c>
      <c r="F327" t="s">
        <v>87</v>
      </c>
      <c r="G327" t="s">
        <v>101</v>
      </c>
      <c r="H327">
        <v>6</v>
      </c>
      <c r="I327">
        <v>1800</v>
      </c>
      <c r="J327">
        <v>0.03</v>
      </c>
      <c r="K327" t="s">
        <v>18</v>
      </c>
      <c r="L327" t="s">
        <v>34</v>
      </c>
      <c r="M327" t="s">
        <v>135</v>
      </c>
      <c r="N327">
        <f>SalesTable[[#This Row],[الكمية]]*SalesTable[[#This Row],[سعر الوحدة]]</f>
        <v>10800</v>
      </c>
      <c r="O327">
        <f>SalesTable[[#This Row],[الكمية]]*SalesTable[[#This Row],[سعر الوحدة]]*(1-SalesTable[[#This Row],[الخصم]])</f>
        <v>10476</v>
      </c>
    </row>
    <row r="328" spans="1:15" x14ac:dyDescent="0.3">
      <c r="A328">
        <v>10327</v>
      </c>
      <c r="B328" t="s">
        <v>44</v>
      </c>
      <c r="C328" s="3">
        <v>46277</v>
      </c>
      <c r="D328" t="s">
        <v>110</v>
      </c>
      <c r="E328" t="s">
        <v>46</v>
      </c>
      <c r="F328" t="s">
        <v>16</v>
      </c>
      <c r="G328" t="s">
        <v>79</v>
      </c>
      <c r="H328">
        <v>10</v>
      </c>
      <c r="I328">
        <v>450</v>
      </c>
      <c r="J328">
        <v>0.15</v>
      </c>
      <c r="K328" t="s">
        <v>33</v>
      </c>
      <c r="L328" t="s">
        <v>34</v>
      </c>
      <c r="M328" t="s">
        <v>56</v>
      </c>
      <c r="N328">
        <f>SalesTable[[#This Row],[الكمية]]*SalesTable[[#This Row],[سعر الوحدة]]</f>
        <v>4500</v>
      </c>
      <c r="O328">
        <f>SalesTable[[#This Row],[الكمية]]*SalesTable[[#This Row],[سعر الوحدة]]*(1-SalesTable[[#This Row],[الخصم]])</f>
        <v>3825</v>
      </c>
    </row>
    <row r="329" spans="1:15" x14ac:dyDescent="0.3">
      <c r="A329">
        <v>10328</v>
      </c>
      <c r="B329" t="s">
        <v>44</v>
      </c>
      <c r="C329" s="3">
        <v>46316</v>
      </c>
      <c r="D329" t="s">
        <v>48</v>
      </c>
      <c r="E329" t="s">
        <v>30</v>
      </c>
      <c r="F329" t="s">
        <v>64</v>
      </c>
      <c r="G329" t="s">
        <v>107</v>
      </c>
      <c r="H329">
        <v>3</v>
      </c>
      <c r="I329">
        <v>9000</v>
      </c>
      <c r="J329">
        <v>0.05</v>
      </c>
      <c r="K329" t="s">
        <v>18</v>
      </c>
      <c r="L329" t="s">
        <v>26</v>
      </c>
      <c r="M329" t="s">
        <v>235</v>
      </c>
      <c r="N329">
        <f>SalesTable[[#This Row],[الكمية]]*SalesTable[[#This Row],[سعر الوحدة]]</f>
        <v>27000</v>
      </c>
      <c r="O329">
        <f>SalesTable[[#This Row],[الكمية]]*SalesTable[[#This Row],[سعر الوحدة]]*(1-SalesTable[[#This Row],[الخصم]])</f>
        <v>25650</v>
      </c>
    </row>
    <row r="330" spans="1:15" x14ac:dyDescent="0.3">
      <c r="A330">
        <v>10329</v>
      </c>
      <c r="B330" t="s">
        <v>62</v>
      </c>
      <c r="C330" s="3">
        <v>46209</v>
      </c>
      <c r="D330" t="s">
        <v>22</v>
      </c>
      <c r="E330" t="s">
        <v>23</v>
      </c>
      <c r="F330" t="s">
        <v>24</v>
      </c>
      <c r="G330" t="s">
        <v>25</v>
      </c>
      <c r="H330">
        <v>4</v>
      </c>
      <c r="I330">
        <v>25000</v>
      </c>
      <c r="J330">
        <v>0</v>
      </c>
      <c r="K330" t="s">
        <v>33</v>
      </c>
      <c r="L330" t="s">
        <v>26</v>
      </c>
      <c r="M330" t="s">
        <v>114</v>
      </c>
      <c r="N330">
        <f>SalesTable[[#This Row],[الكمية]]*SalesTable[[#This Row],[سعر الوحدة]]</f>
        <v>100000</v>
      </c>
      <c r="O330">
        <f>SalesTable[[#This Row],[الكمية]]*SalesTable[[#This Row],[سعر الوحدة]]*(1-SalesTable[[#This Row],[الخصم]])</f>
        <v>100000</v>
      </c>
    </row>
    <row r="331" spans="1:15" x14ac:dyDescent="0.3">
      <c r="A331">
        <v>10330</v>
      </c>
      <c r="B331" t="s">
        <v>13</v>
      </c>
      <c r="C331" s="3">
        <v>46236</v>
      </c>
      <c r="D331" t="s">
        <v>90</v>
      </c>
      <c r="E331" t="s">
        <v>91</v>
      </c>
      <c r="F331" t="s">
        <v>24</v>
      </c>
      <c r="G331" t="s">
        <v>42</v>
      </c>
      <c r="H331">
        <v>4</v>
      </c>
      <c r="I331">
        <v>6500</v>
      </c>
      <c r="J331">
        <v>0.05</v>
      </c>
      <c r="K331" t="s">
        <v>38</v>
      </c>
      <c r="L331" t="s">
        <v>34</v>
      </c>
      <c r="M331" t="s">
        <v>211</v>
      </c>
      <c r="N331">
        <f>SalesTable[[#This Row],[الكمية]]*SalesTable[[#This Row],[سعر الوحدة]]</f>
        <v>26000</v>
      </c>
      <c r="O331">
        <f>SalesTable[[#This Row],[الكمية]]*SalesTable[[#This Row],[سعر الوحدة]]*(1-SalesTable[[#This Row],[الخصم]])</f>
        <v>24700</v>
      </c>
    </row>
    <row r="332" spans="1:15" x14ac:dyDescent="0.3">
      <c r="A332">
        <v>10331</v>
      </c>
      <c r="B332" t="s">
        <v>28</v>
      </c>
      <c r="C332" s="3">
        <v>46114</v>
      </c>
      <c r="D332" t="s">
        <v>95</v>
      </c>
      <c r="E332" t="s">
        <v>15</v>
      </c>
      <c r="F332" t="s">
        <v>49</v>
      </c>
      <c r="G332" t="s">
        <v>50</v>
      </c>
      <c r="H332">
        <v>9</v>
      </c>
      <c r="I332">
        <v>5200</v>
      </c>
      <c r="J332">
        <v>0.15</v>
      </c>
      <c r="K332" t="s">
        <v>55</v>
      </c>
      <c r="L332" t="s">
        <v>19</v>
      </c>
      <c r="M332" t="s">
        <v>89</v>
      </c>
      <c r="N332">
        <f>SalesTable[[#This Row],[الكمية]]*SalesTable[[#This Row],[سعر الوحدة]]</f>
        <v>46800</v>
      </c>
      <c r="O332">
        <f>SalesTable[[#This Row],[الكمية]]*SalesTable[[#This Row],[سعر الوحدة]]*(1-SalesTable[[#This Row],[الخصم]])</f>
        <v>39780</v>
      </c>
    </row>
    <row r="333" spans="1:15" x14ac:dyDescent="0.3">
      <c r="A333">
        <v>10332</v>
      </c>
      <c r="B333" t="s">
        <v>44</v>
      </c>
      <c r="C333" s="3">
        <v>46306</v>
      </c>
      <c r="D333" t="s">
        <v>104</v>
      </c>
      <c r="E333" t="s">
        <v>23</v>
      </c>
      <c r="F333" t="s">
        <v>59</v>
      </c>
      <c r="G333" t="s">
        <v>105</v>
      </c>
      <c r="H333">
        <v>5</v>
      </c>
      <c r="I333">
        <v>28000</v>
      </c>
      <c r="J333">
        <v>0.05</v>
      </c>
      <c r="K333" t="s">
        <v>33</v>
      </c>
      <c r="L333" t="s">
        <v>19</v>
      </c>
      <c r="M333" t="s">
        <v>182</v>
      </c>
      <c r="N333">
        <f>SalesTable[[#This Row],[الكمية]]*SalesTable[[#This Row],[سعر الوحدة]]</f>
        <v>140000</v>
      </c>
      <c r="O333">
        <f>SalesTable[[#This Row],[الكمية]]*SalesTable[[#This Row],[سعر الوحدة]]*(1-SalesTable[[#This Row],[الخصم]])</f>
        <v>133000</v>
      </c>
    </row>
    <row r="334" spans="1:15" x14ac:dyDescent="0.3">
      <c r="A334">
        <v>10333</v>
      </c>
      <c r="B334" t="s">
        <v>94</v>
      </c>
      <c r="C334" s="3">
        <v>46147</v>
      </c>
      <c r="D334" t="s">
        <v>45</v>
      </c>
      <c r="E334" t="s">
        <v>46</v>
      </c>
      <c r="F334" t="s">
        <v>87</v>
      </c>
      <c r="G334" t="s">
        <v>103</v>
      </c>
      <c r="H334">
        <v>5</v>
      </c>
      <c r="I334">
        <v>1200</v>
      </c>
      <c r="J334">
        <v>0.15</v>
      </c>
      <c r="K334" t="s">
        <v>33</v>
      </c>
      <c r="L334" t="s">
        <v>34</v>
      </c>
      <c r="M334" t="s">
        <v>284</v>
      </c>
      <c r="N334">
        <f>SalesTable[[#This Row],[الكمية]]*SalesTable[[#This Row],[سعر الوحدة]]</f>
        <v>6000</v>
      </c>
      <c r="O334">
        <f>SalesTable[[#This Row],[الكمية]]*SalesTable[[#This Row],[سعر الوحدة]]*(1-SalesTable[[#This Row],[الخصم]])</f>
        <v>5100</v>
      </c>
    </row>
    <row r="335" spans="1:15" x14ac:dyDescent="0.3">
      <c r="A335">
        <v>10334</v>
      </c>
      <c r="B335" t="s">
        <v>112</v>
      </c>
      <c r="C335" s="3">
        <v>46026</v>
      </c>
      <c r="D335" t="s">
        <v>40</v>
      </c>
      <c r="E335" t="s">
        <v>41</v>
      </c>
      <c r="F335" t="s">
        <v>31</v>
      </c>
      <c r="G335" t="s">
        <v>77</v>
      </c>
      <c r="H335">
        <v>9</v>
      </c>
      <c r="I335">
        <v>150</v>
      </c>
      <c r="J335">
        <v>0.03</v>
      </c>
      <c r="K335" t="s">
        <v>33</v>
      </c>
      <c r="L335" t="s">
        <v>19</v>
      </c>
      <c r="M335" t="s">
        <v>281</v>
      </c>
      <c r="N335">
        <f>SalesTable[[#This Row],[الكمية]]*SalesTable[[#This Row],[سعر الوحدة]]</f>
        <v>1350</v>
      </c>
      <c r="O335">
        <f>SalesTable[[#This Row],[الكمية]]*SalesTable[[#This Row],[سعر الوحدة]]*(1-SalesTable[[#This Row],[الخصم]])</f>
        <v>1309.5</v>
      </c>
    </row>
    <row r="336" spans="1:15" x14ac:dyDescent="0.3">
      <c r="A336">
        <v>10335</v>
      </c>
      <c r="B336" t="s">
        <v>28</v>
      </c>
      <c r="C336" s="3">
        <v>46359</v>
      </c>
      <c r="D336" t="s">
        <v>53</v>
      </c>
      <c r="E336" t="s">
        <v>15</v>
      </c>
      <c r="F336" t="s">
        <v>49</v>
      </c>
      <c r="G336" t="s">
        <v>122</v>
      </c>
      <c r="H336">
        <v>1</v>
      </c>
      <c r="I336">
        <v>3200</v>
      </c>
      <c r="J336">
        <v>0.05</v>
      </c>
      <c r="K336" t="s">
        <v>33</v>
      </c>
      <c r="L336" t="s">
        <v>34</v>
      </c>
      <c r="M336" t="s">
        <v>285</v>
      </c>
      <c r="N336">
        <f>SalesTable[[#This Row],[الكمية]]*SalesTable[[#This Row],[سعر الوحدة]]</f>
        <v>3200</v>
      </c>
      <c r="O336">
        <f>SalesTable[[#This Row],[الكمية]]*SalesTable[[#This Row],[سعر الوحدة]]*(1-SalesTable[[#This Row],[الخصم]])</f>
        <v>3040</v>
      </c>
    </row>
    <row r="337" spans="1:15" x14ac:dyDescent="0.3">
      <c r="A337">
        <v>10336</v>
      </c>
      <c r="B337" t="s">
        <v>112</v>
      </c>
      <c r="C337" s="3">
        <v>46387</v>
      </c>
      <c r="D337" t="s">
        <v>45</v>
      </c>
      <c r="E337" t="s">
        <v>46</v>
      </c>
      <c r="F337" t="s">
        <v>31</v>
      </c>
      <c r="G337" t="s">
        <v>32</v>
      </c>
      <c r="H337">
        <v>8</v>
      </c>
      <c r="I337">
        <v>1200</v>
      </c>
      <c r="J337">
        <v>0</v>
      </c>
      <c r="K337" t="s">
        <v>38</v>
      </c>
      <c r="L337" t="s">
        <v>19</v>
      </c>
      <c r="M337" t="s">
        <v>119</v>
      </c>
      <c r="N337">
        <f>SalesTable[[#This Row],[الكمية]]*SalesTable[[#This Row],[سعر الوحدة]]</f>
        <v>9600</v>
      </c>
      <c r="O337">
        <f>SalesTable[[#This Row],[الكمية]]*SalesTable[[#This Row],[سعر الوحدة]]*(1-SalesTable[[#This Row],[الخصم]])</f>
        <v>9600</v>
      </c>
    </row>
    <row r="338" spans="1:15" x14ac:dyDescent="0.3">
      <c r="A338">
        <v>10337</v>
      </c>
      <c r="B338" t="s">
        <v>67</v>
      </c>
      <c r="C338" s="3">
        <v>46257</v>
      </c>
      <c r="D338" t="s">
        <v>90</v>
      </c>
      <c r="E338" t="s">
        <v>91</v>
      </c>
      <c r="F338" t="s">
        <v>31</v>
      </c>
      <c r="G338" t="s">
        <v>77</v>
      </c>
      <c r="H338">
        <v>7</v>
      </c>
      <c r="I338">
        <v>6500</v>
      </c>
      <c r="J338">
        <v>0.15</v>
      </c>
      <c r="K338" t="s">
        <v>18</v>
      </c>
      <c r="L338" t="s">
        <v>19</v>
      </c>
      <c r="M338" t="s">
        <v>129</v>
      </c>
      <c r="N338">
        <f>SalesTable[[#This Row],[الكمية]]*SalesTable[[#This Row],[سعر الوحدة]]</f>
        <v>45500</v>
      </c>
      <c r="O338">
        <f>SalesTable[[#This Row],[الكمية]]*SalesTable[[#This Row],[سعر الوحدة]]*(1-SalesTable[[#This Row],[الخصم]])</f>
        <v>38675</v>
      </c>
    </row>
    <row r="339" spans="1:15" x14ac:dyDescent="0.3">
      <c r="A339">
        <v>10338</v>
      </c>
      <c r="B339" t="s">
        <v>28</v>
      </c>
      <c r="C339" s="3">
        <v>46245</v>
      </c>
      <c r="D339" t="s">
        <v>37</v>
      </c>
      <c r="E339" t="s">
        <v>23</v>
      </c>
      <c r="F339" t="s">
        <v>84</v>
      </c>
      <c r="G339" t="s">
        <v>120</v>
      </c>
      <c r="H339">
        <v>10</v>
      </c>
      <c r="I339">
        <v>32000</v>
      </c>
      <c r="J339">
        <v>0.1</v>
      </c>
      <c r="K339" t="s">
        <v>55</v>
      </c>
      <c r="L339" t="s">
        <v>26</v>
      </c>
      <c r="M339" t="s">
        <v>219</v>
      </c>
      <c r="N339">
        <f>SalesTable[[#This Row],[الكمية]]*SalesTable[[#This Row],[سعر الوحدة]]</f>
        <v>320000</v>
      </c>
      <c r="O339">
        <f>SalesTable[[#This Row],[الكمية]]*SalesTable[[#This Row],[سعر الوحدة]]*(1-SalesTable[[#This Row],[الخصم]])</f>
        <v>288000</v>
      </c>
    </row>
    <row r="340" spans="1:15" x14ac:dyDescent="0.3">
      <c r="A340">
        <v>10339</v>
      </c>
      <c r="B340" t="s">
        <v>62</v>
      </c>
      <c r="C340" s="3">
        <v>46162</v>
      </c>
      <c r="D340" t="s">
        <v>110</v>
      </c>
      <c r="E340" t="s">
        <v>46</v>
      </c>
      <c r="F340" t="s">
        <v>49</v>
      </c>
      <c r="G340" t="s">
        <v>98</v>
      </c>
      <c r="H340">
        <v>6</v>
      </c>
      <c r="I340">
        <v>450</v>
      </c>
      <c r="J340">
        <v>0.05</v>
      </c>
      <c r="K340" t="s">
        <v>55</v>
      </c>
      <c r="L340" t="s">
        <v>19</v>
      </c>
      <c r="M340" t="s">
        <v>286</v>
      </c>
      <c r="N340">
        <f>SalesTable[[#This Row],[الكمية]]*SalesTable[[#This Row],[سعر الوحدة]]</f>
        <v>2700</v>
      </c>
      <c r="O340">
        <f>SalesTable[[#This Row],[الكمية]]*SalesTable[[#This Row],[سعر الوحدة]]*(1-SalesTable[[#This Row],[الخصم]])</f>
        <v>2565</v>
      </c>
    </row>
    <row r="341" spans="1:15" x14ac:dyDescent="0.3">
      <c r="A341">
        <v>10340</v>
      </c>
      <c r="B341" t="s">
        <v>62</v>
      </c>
      <c r="C341" s="3">
        <v>46261</v>
      </c>
      <c r="D341" t="s">
        <v>37</v>
      </c>
      <c r="E341" t="s">
        <v>23</v>
      </c>
      <c r="F341" t="s">
        <v>16</v>
      </c>
      <c r="G341" t="s">
        <v>96</v>
      </c>
      <c r="H341">
        <v>2</v>
      </c>
      <c r="I341">
        <v>32000</v>
      </c>
      <c r="J341">
        <v>0.03</v>
      </c>
      <c r="K341" t="s">
        <v>38</v>
      </c>
      <c r="L341" t="s">
        <v>47</v>
      </c>
      <c r="M341" t="s">
        <v>287</v>
      </c>
      <c r="N341">
        <f>SalesTable[[#This Row],[الكمية]]*SalesTable[[#This Row],[سعر الوحدة]]</f>
        <v>64000</v>
      </c>
      <c r="O341">
        <f>SalesTable[[#This Row],[الكمية]]*SalesTable[[#This Row],[سعر الوحدة]]*(1-SalesTable[[#This Row],[الخصم]])</f>
        <v>62080</v>
      </c>
    </row>
    <row r="342" spans="1:15" x14ac:dyDescent="0.3">
      <c r="A342">
        <v>10341</v>
      </c>
      <c r="B342" t="s">
        <v>62</v>
      </c>
      <c r="C342" s="3">
        <v>46158</v>
      </c>
      <c r="D342" t="s">
        <v>53</v>
      </c>
      <c r="E342" t="s">
        <v>15</v>
      </c>
      <c r="F342" t="s">
        <v>49</v>
      </c>
      <c r="G342" t="s">
        <v>50</v>
      </c>
      <c r="H342">
        <v>8</v>
      </c>
      <c r="I342">
        <v>3200</v>
      </c>
      <c r="J342">
        <v>0.05</v>
      </c>
      <c r="K342" t="s">
        <v>18</v>
      </c>
      <c r="L342" t="s">
        <v>19</v>
      </c>
      <c r="M342" t="s">
        <v>69</v>
      </c>
      <c r="N342">
        <f>SalesTable[[#This Row],[الكمية]]*SalesTable[[#This Row],[سعر الوحدة]]</f>
        <v>25600</v>
      </c>
      <c r="O342">
        <f>SalesTable[[#This Row],[الكمية]]*SalesTable[[#This Row],[سعر الوحدة]]*(1-SalesTable[[#This Row],[الخصم]])</f>
        <v>24320</v>
      </c>
    </row>
    <row r="343" spans="1:15" x14ac:dyDescent="0.3">
      <c r="A343">
        <v>10342</v>
      </c>
      <c r="B343" t="s">
        <v>13</v>
      </c>
      <c r="C343" s="3">
        <v>46190</v>
      </c>
      <c r="D343" t="s">
        <v>40</v>
      </c>
      <c r="E343" t="s">
        <v>41</v>
      </c>
      <c r="F343" t="s">
        <v>87</v>
      </c>
      <c r="G343" t="s">
        <v>103</v>
      </c>
      <c r="H343">
        <v>10</v>
      </c>
      <c r="I343">
        <v>150</v>
      </c>
      <c r="J343">
        <v>0</v>
      </c>
      <c r="K343" t="s">
        <v>55</v>
      </c>
      <c r="L343" t="s">
        <v>19</v>
      </c>
      <c r="M343" t="s">
        <v>288</v>
      </c>
      <c r="N343">
        <f>SalesTable[[#This Row],[الكمية]]*SalesTable[[#This Row],[سعر الوحدة]]</f>
        <v>1500</v>
      </c>
      <c r="O343">
        <f>SalesTable[[#This Row],[الكمية]]*SalesTable[[#This Row],[سعر الوحدة]]*(1-SalesTable[[#This Row],[الخصم]])</f>
        <v>1500</v>
      </c>
    </row>
    <row r="344" spans="1:15" x14ac:dyDescent="0.3">
      <c r="A344">
        <v>10343</v>
      </c>
      <c r="B344" t="s">
        <v>52</v>
      </c>
      <c r="C344" s="3">
        <v>46156</v>
      </c>
      <c r="D344" t="s">
        <v>70</v>
      </c>
      <c r="E344" t="s">
        <v>46</v>
      </c>
      <c r="F344" t="s">
        <v>84</v>
      </c>
      <c r="G344" t="s">
        <v>113</v>
      </c>
      <c r="H344">
        <v>1</v>
      </c>
      <c r="I344">
        <v>1800</v>
      </c>
      <c r="J344">
        <v>0.15</v>
      </c>
      <c r="K344" t="s">
        <v>55</v>
      </c>
      <c r="L344" t="s">
        <v>19</v>
      </c>
      <c r="M344" t="s">
        <v>289</v>
      </c>
      <c r="N344">
        <f>SalesTable[[#This Row],[الكمية]]*SalesTable[[#This Row],[سعر الوحدة]]</f>
        <v>1800</v>
      </c>
      <c r="O344">
        <f>SalesTable[[#This Row],[الكمية]]*SalesTable[[#This Row],[سعر الوحدة]]*(1-SalesTable[[#This Row],[الخصم]])</f>
        <v>1530</v>
      </c>
    </row>
    <row r="345" spans="1:15" x14ac:dyDescent="0.3">
      <c r="A345">
        <v>10344</v>
      </c>
      <c r="B345" t="s">
        <v>44</v>
      </c>
      <c r="C345" s="3">
        <v>46259</v>
      </c>
      <c r="D345" t="s">
        <v>68</v>
      </c>
      <c r="E345" t="s">
        <v>46</v>
      </c>
      <c r="F345" t="s">
        <v>59</v>
      </c>
      <c r="G345" t="s">
        <v>75</v>
      </c>
      <c r="H345">
        <v>9</v>
      </c>
      <c r="I345">
        <v>1400</v>
      </c>
      <c r="J345">
        <v>0.03</v>
      </c>
      <c r="K345" t="s">
        <v>18</v>
      </c>
      <c r="L345" t="s">
        <v>26</v>
      </c>
      <c r="M345" t="s">
        <v>290</v>
      </c>
      <c r="N345">
        <f>SalesTable[[#This Row],[الكمية]]*SalesTable[[#This Row],[سعر الوحدة]]</f>
        <v>12600</v>
      </c>
      <c r="O345">
        <f>SalesTable[[#This Row],[الكمية]]*SalesTable[[#This Row],[سعر الوحدة]]*(1-SalesTable[[#This Row],[الخصم]])</f>
        <v>12222</v>
      </c>
    </row>
    <row r="346" spans="1:15" x14ac:dyDescent="0.3">
      <c r="A346">
        <v>10345</v>
      </c>
      <c r="B346" t="s">
        <v>36</v>
      </c>
      <c r="C346" s="3">
        <v>46213</v>
      </c>
      <c r="D346" t="s">
        <v>22</v>
      </c>
      <c r="E346" t="s">
        <v>23</v>
      </c>
      <c r="F346" t="s">
        <v>24</v>
      </c>
      <c r="G346" t="s">
        <v>73</v>
      </c>
      <c r="H346">
        <v>3</v>
      </c>
      <c r="I346">
        <v>25000</v>
      </c>
      <c r="J346">
        <v>0.03</v>
      </c>
      <c r="K346" t="s">
        <v>18</v>
      </c>
      <c r="L346" t="s">
        <v>34</v>
      </c>
      <c r="M346" t="s">
        <v>204</v>
      </c>
      <c r="N346">
        <f>SalesTable[[#This Row],[الكمية]]*SalesTable[[#This Row],[سعر الوحدة]]</f>
        <v>75000</v>
      </c>
      <c r="O346">
        <f>SalesTable[[#This Row],[الكمية]]*SalesTable[[#This Row],[سعر الوحدة]]*(1-SalesTable[[#This Row],[الخصم]])</f>
        <v>72750</v>
      </c>
    </row>
    <row r="347" spans="1:15" x14ac:dyDescent="0.3">
      <c r="A347">
        <v>10346</v>
      </c>
      <c r="B347" t="s">
        <v>44</v>
      </c>
      <c r="C347" s="3">
        <v>46192</v>
      </c>
      <c r="D347" t="s">
        <v>22</v>
      </c>
      <c r="E347" t="s">
        <v>23</v>
      </c>
      <c r="F347" t="s">
        <v>16</v>
      </c>
      <c r="G347" t="s">
        <v>96</v>
      </c>
      <c r="H347">
        <v>8</v>
      </c>
      <c r="I347">
        <v>25000</v>
      </c>
      <c r="J347">
        <v>0.03</v>
      </c>
      <c r="K347" t="s">
        <v>18</v>
      </c>
      <c r="L347" t="s">
        <v>19</v>
      </c>
      <c r="M347" t="s">
        <v>269</v>
      </c>
      <c r="N347">
        <f>SalesTable[[#This Row],[الكمية]]*SalesTable[[#This Row],[سعر الوحدة]]</f>
        <v>200000</v>
      </c>
      <c r="O347">
        <f>SalesTable[[#This Row],[الكمية]]*SalesTable[[#This Row],[سعر الوحدة]]*(1-SalesTable[[#This Row],[الخصم]])</f>
        <v>194000</v>
      </c>
    </row>
    <row r="348" spans="1:15" x14ac:dyDescent="0.3">
      <c r="A348">
        <v>10347</v>
      </c>
      <c r="B348" t="s">
        <v>28</v>
      </c>
      <c r="C348" s="3">
        <v>46218</v>
      </c>
      <c r="D348" t="s">
        <v>22</v>
      </c>
      <c r="E348" t="s">
        <v>23</v>
      </c>
      <c r="F348" t="s">
        <v>64</v>
      </c>
      <c r="G348" t="s">
        <v>65</v>
      </c>
      <c r="H348">
        <v>7</v>
      </c>
      <c r="I348">
        <v>25000</v>
      </c>
      <c r="J348">
        <v>7.0000000000000007E-2</v>
      </c>
      <c r="K348" t="s">
        <v>33</v>
      </c>
      <c r="L348" t="s">
        <v>26</v>
      </c>
      <c r="M348" t="s">
        <v>291</v>
      </c>
      <c r="N348">
        <f>SalesTable[[#This Row],[الكمية]]*SalesTable[[#This Row],[سعر الوحدة]]</f>
        <v>175000</v>
      </c>
      <c r="O348">
        <f>SalesTable[[#This Row],[الكمية]]*SalesTable[[#This Row],[سعر الوحدة]]*(1-SalesTable[[#This Row],[الخصم]])</f>
        <v>162750</v>
      </c>
    </row>
    <row r="349" spans="1:15" x14ac:dyDescent="0.3">
      <c r="A349">
        <v>10348</v>
      </c>
      <c r="B349" t="s">
        <v>112</v>
      </c>
      <c r="C349" s="3">
        <v>46040</v>
      </c>
      <c r="D349" t="s">
        <v>45</v>
      </c>
      <c r="E349" t="s">
        <v>46</v>
      </c>
      <c r="F349" t="s">
        <v>64</v>
      </c>
      <c r="G349" t="s">
        <v>107</v>
      </c>
      <c r="H349">
        <v>5</v>
      </c>
      <c r="I349">
        <v>1200</v>
      </c>
      <c r="J349">
        <v>7.0000000000000007E-2</v>
      </c>
      <c r="K349" t="s">
        <v>55</v>
      </c>
      <c r="L349" t="s">
        <v>34</v>
      </c>
      <c r="M349" t="s">
        <v>58</v>
      </c>
      <c r="N349">
        <f>SalesTable[[#This Row],[الكمية]]*SalesTable[[#This Row],[سعر الوحدة]]</f>
        <v>6000</v>
      </c>
      <c r="O349">
        <f>SalesTable[[#This Row],[الكمية]]*SalesTable[[#This Row],[سعر الوحدة]]*(1-SalesTable[[#This Row],[الخصم]])</f>
        <v>5580</v>
      </c>
    </row>
    <row r="350" spans="1:15" x14ac:dyDescent="0.3">
      <c r="A350">
        <v>10349</v>
      </c>
      <c r="B350" t="s">
        <v>36</v>
      </c>
      <c r="C350" s="3">
        <v>46093</v>
      </c>
      <c r="D350" t="s">
        <v>29</v>
      </c>
      <c r="E350" t="s">
        <v>30</v>
      </c>
      <c r="F350" t="s">
        <v>59</v>
      </c>
      <c r="G350" t="s">
        <v>60</v>
      </c>
      <c r="H350">
        <v>2</v>
      </c>
      <c r="I350">
        <v>7500</v>
      </c>
      <c r="J350">
        <v>0.05</v>
      </c>
      <c r="K350" t="s">
        <v>33</v>
      </c>
      <c r="L350" t="s">
        <v>26</v>
      </c>
      <c r="M350" t="s">
        <v>258</v>
      </c>
      <c r="N350">
        <f>SalesTable[[#This Row],[الكمية]]*SalesTable[[#This Row],[سعر الوحدة]]</f>
        <v>15000</v>
      </c>
      <c r="O350">
        <f>SalesTable[[#This Row],[الكمية]]*SalesTable[[#This Row],[سعر الوحدة]]*(1-SalesTable[[#This Row],[الخصم]])</f>
        <v>14250</v>
      </c>
    </row>
    <row r="351" spans="1:15" x14ac:dyDescent="0.3">
      <c r="A351">
        <v>10350</v>
      </c>
      <c r="B351" t="s">
        <v>21</v>
      </c>
      <c r="C351" s="3">
        <v>46271</v>
      </c>
      <c r="D351" t="s">
        <v>45</v>
      </c>
      <c r="E351" t="s">
        <v>46</v>
      </c>
      <c r="F351" t="s">
        <v>24</v>
      </c>
      <c r="G351" t="s">
        <v>42</v>
      </c>
      <c r="H351">
        <v>6</v>
      </c>
      <c r="I351">
        <v>1200</v>
      </c>
      <c r="J351">
        <v>7.0000000000000007E-2</v>
      </c>
      <c r="K351" t="s">
        <v>38</v>
      </c>
      <c r="L351" t="s">
        <v>34</v>
      </c>
      <c r="M351" t="s">
        <v>292</v>
      </c>
      <c r="N351">
        <f>SalesTable[[#This Row],[الكمية]]*SalesTable[[#This Row],[سعر الوحدة]]</f>
        <v>7200</v>
      </c>
      <c r="O351">
        <f>SalesTable[[#This Row],[الكمية]]*SalesTable[[#This Row],[سعر الوحدة]]*(1-SalesTable[[#This Row],[الخصم]])</f>
        <v>6696</v>
      </c>
    </row>
    <row r="352" spans="1:15" x14ac:dyDescent="0.3">
      <c r="A352">
        <v>10351</v>
      </c>
      <c r="B352" t="s">
        <v>13</v>
      </c>
      <c r="C352" s="3">
        <v>46038</v>
      </c>
      <c r="D352" t="s">
        <v>110</v>
      </c>
      <c r="E352" t="s">
        <v>46</v>
      </c>
      <c r="F352" t="s">
        <v>64</v>
      </c>
      <c r="G352" t="s">
        <v>71</v>
      </c>
      <c r="H352">
        <v>6</v>
      </c>
      <c r="I352">
        <v>450</v>
      </c>
      <c r="J352">
        <v>0.1</v>
      </c>
      <c r="K352" t="s">
        <v>38</v>
      </c>
      <c r="L352" t="s">
        <v>19</v>
      </c>
      <c r="M352" t="s">
        <v>293</v>
      </c>
      <c r="N352">
        <f>SalesTable[[#This Row],[الكمية]]*SalesTable[[#This Row],[سعر الوحدة]]</f>
        <v>2700</v>
      </c>
      <c r="O352">
        <f>SalesTable[[#This Row],[الكمية]]*SalesTable[[#This Row],[سعر الوحدة]]*(1-SalesTable[[#This Row],[الخصم]])</f>
        <v>2430</v>
      </c>
    </row>
    <row r="353" spans="1:15" x14ac:dyDescent="0.3">
      <c r="A353">
        <v>10352</v>
      </c>
      <c r="B353" t="s">
        <v>44</v>
      </c>
      <c r="C353" s="3">
        <v>46149</v>
      </c>
      <c r="D353" t="s">
        <v>53</v>
      </c>
      <c r="E353" t="s">
        <v>15</v>
      </c>
      <c r="F353" t="s">
        <v>49</v>
      </c>
      <c r="G353" t="s">
        <v>122</v>
      </c>
      <c r="H353">
        <v>4</v>
      </c>
      <c r="I353">
        <v>3200</v>
      </c>
      <c r="J353">
        <v>0.03</v>
      </c>
      <c r="K353" t="s">
        <v>55</v>
      </c>
      <c r="L353" t="s">
        <v>34</v>
      </c>
      <c r="M353" t="s">
        <v>294</v>
      </c>
      <c r="N353">
        <f>SalesTable[[#This Row],[الكمية]]*SalesTable[[#This Row],[سعر الوحدة]]</f>
        <v>12800</v>
      </c>
      <c r="O353">
        <f>SalesTable[[#This Row],[الكمية]]*SalesTable[[#This Row],[سعر الوحدة]]*(1-SalesTable[[#This Row],[الخصم]])</f>
        <v>12416</v>
      </c>
    </row>
    <row r="354" spans="1:15" x14ac:dyDescent="0.3">
      <c r="A354">
        <v>10353</v>
      </c>
      <c r="B354" t="s">
        <v>67</v>
      </c>
      <c r="C354" s="3">
        <v>46111</v>
      </c>
      <c r="D354" t="s">
        <v>68</v>
      </c>
      <c r="E354" t="s">
        <v>46</v>
      </c>
      <c r="F354" t="s">
        <v>24</v>
      </c>
      <c r="G354" t="s">
        <v>73</v>
      </c>
      <c r="H354">
        <v>10</v>
      </c>
      <c r="I354">
        <v>1400</v>
      </c>
      <c r="J354">
        <v>7.0000000000000007E-2</v>
      </c>
      <c r="K354" t="s">
        <v>55</v>
      </c>
      <c r="L354" t="s">
        <v>26</v>
      </c>
      <c r="M354" t="s">
        <v>295</v>
      </c>
      <c r="N354">
        <f>SalesTable[[#This Row],[الكمية]]*SalesTable[[#This Row],[سعر الوحدة]]</f>
        <v>14000</v>
      </c>
      <c r="O354">
        <f>SalesTable[[#This Row],[الكمية]]*SalesTable[[#This Row],[سعر الوحدة]]*(1-SalesTable[[#This Row],[الخصم]])</f>
        <v>13020</v>
      </c>
    </row>
    <row r="355" spans="1:15" x14ac:dyDescent="0.3">
      <c r="A355">
        <v>10354</v>
      </c>
      <c r="B355" t="s">
        <v>67</v>
      </c>
      <c r="C355" s="3">
        <v>46313</v>
      </c>
      <c r="D355" t="s">
        <v>40</v>
      </c>
      <c r="E355" t="s">
        <v>41</v>
      </c>
      <c r="F355" t="s">
        <v>49</v>
      </c>
      <c r="G355" t="s">
        <v>122</v>
      </c>
      <c r="H355">
        <v>1</v>
      </c>
      <c r="I355">
        <v>150</v>
      </c>
      <c r="J355">
        <v>0.15</v>
      </c>
      <c r="K355" t="s">
        <v>55</v>
      </c>
      <c r="L355" t="s">
        <v>26</v>
      </c>
      <c r="M355" t="s">
        <v>284</v>
      </c>
      <c r="N355">
        <f>SalesTable[[#This Row],[الكمية]]*SalesTable[[#This Row],[سعر الوحدة]]</f>
        <v>150</v>
      </c>
      <c r="O355">
        <f>SalesTable[[#This Row],[الكمية]]*SalesTable[[#This Row],[سعر الوحدة]]*(1-SalesTable[[#This Row],[الخصم]])</f>
        <v>127.5</v>
      </c>
    </row>
    <row r="356" spans="1:15" x14ac:dyDescent="0.3">
      <c r="A356">
        <v>10355</v>
      </c>
      <c r="B356" t="s">
        <v>44</v>
      </c>
      <c r="C356" s="3">
        <v>46051</v>
      </c>
      <c r="D356" t="s">
        <v>53</v>
      </c>
      <c r="E356" t="s">
        <v>15</v>
      </c>
      <c r="F356" t="s">
        <v>87</v>
      </c>
      <c r="G356" t="s">
        <v>101</v>
      </c>
      <c r="H356">
        <v>8</v>
      </c>
      <c r="I356">
        <v>3200</v>
      </c>
      <c r="J356">
        <v>0</v>
      </c>
      <c r="K356" t="s">
        <v>55</v>
      </c>
      <c r="L356" t="s">
        <v>26</v>
      </c>
      <c r="M356" t="s">
        <v>296</v>
      </c>
      <c r="N356">
        <f>SalesTable[[#This Row],[الكمية]]*SalesTable[[#This Row],[سعر الوحدة]]</f>
        <v>25600</v>
      </c>
      <c r="O356">
        <f>SalesTable[[#This Row],[الكمية]]*SalesTable[[#This Row],[سعر الوحدة]]*(1-SalesTable[[#This Row],[الخصم]])</f>
        <v>25600</v>
      </c>
    </row>
    <row r="357" spans="1:15" x14ac:dyDescent="0.3">
      <c r="A357">
        <v>10356</v>
      </c>
      <c r="B357" t="s">
        <v>13</v>
      </c>
      <c r="C357" s="3">
        <v>46089</v>
      </c>
      <c r="D357" t="s">
        <v>53</v>
      </c>
      <c r="E357" t="s">
        <v>15</v>
      </c>
      <c r="F357" t="s">
        <v>59</v>
      </c>
      <c r="G357" t="s">
        <v>60</v>
      </c>
      <c r="H357">
        <v>6</v>
      </c>
      <c r="I357">
        <v>3200</v>
      </c>
      <c r="J357">
        <v>0.1</v>
      </c>
      <c r="K357" t="s">
        <v>38</v>
      </c>
      <c r="L357" t="s">
        <v>26</v>
      </c>
      <c r="M357" t="s">
        <v>141</v>
      </c>
      <c r="N357">
        <f>SalesTable[[#This Row],[الكمية]]*SalesTable[[#This Row],[سعر الوحدة]]</f>
        <v>19200</v>
      </c>
      <c r="O357">
        <f>SalesTable[[#This Row],[الكمية]]*SalesTable[[#This Row],[سعر الوحدة]]*(1-SalesTable[[#This Row],[الخصم]])</f>
        <v>17280</v>
      </c>
    </row>
    <row r="358" spans="1:15" x14ac:dyDescent="0.3">
      <c r="A358">
        <v>10357</v>
      </c>
      <c r="B358" t="s">
        <v>112</v>
      </c>
      <c r="C358" s="3">
        <v>46079</v>
      </c>
      <c r="D358" t="s">
        <v>22</v>
      </c>
      <c r="E358" t="s">
        <v>23</v>
      </c>
      <c r="F358" t="s">
        <v>24</v>
      </c>
      <c r="G358" t="s">
        <v>73</v>
      </c>
      <c r="H358">
        <v>10</v>
      </c>
      <c r="I358">
        <v>25000</v>
      </c>
      <c r="J358">
        <v>0.15</v>
      </c>
      <c r="K358" t="s">
        <v>38</v>
      </c>
      <c r="L358" t="s">
        <v>19</v>
      </c>
      <c r="M358" t="s">
        <v>271</v>
      </c>
      <c r="N358">
        <f>SalesTable[[#This Row],[الكمية]]*SalesTable[[#This Row],[سعر الوحدة]]</f>
        <v>250000</v>
      </c>
      <c r="O358">
        <f>SalesTable[[#This Row],[الكمية]]*SalesTable[[#This Row],[سعر الوحدة]]*(1-SalesTable[[#This Row],[الخصم]])</f>
        <v>212500</v>
      </c>
    </row>
    <row r="359" spans="1:15" x14ac:dyDescent="0.3">
      <c r="A359">
        <v>10358</v>
      </c>
      <c r="B359" t="s">
        <v>52</v>
      </c>
      <c r="C359" s="3">
        <v>46188</v>
      </c>
      <c r="D359" t="s">
        <v>81</v>
      </c>
      <c r="E359" t="s">
        <v>41</v>
      </c>
      <c r="F359" t="s">
        <v>84</v>
      </c>
      <c r="G359" t="s">
        <v>113</v>
      </c>
      <c r="H359">
        <v>2</v>
      </c>
      <c r="I359">
        <v>2200</v>
      </c>
      <c r="J359">
        <v>0.05</v>
      </c>
      <c r="K359" t="s">
        <v>55</v>
      </c>
      <c r="L359" t="s">
        <v>26</v>
      </c>
      <c r="M359" t="s">
        <v>200</v>
      </c>
      <c r="N359">
        <f>SalesTable[[#This Row],[الكمية]]*SalesTable[[#This Row],[سعر الوحدة]]</f>
        <v>4400</v>
      </c>
      <c r="O359">
        <f>SalesTable[[#This Row],[الكمية]]*SalesTable[[#This Row],[سعر الوحدة]]*(1-SalesTable[[#This Row],[الخصم]])</f>
        <v>4180</v>
      </c>
    </row>
    <row r="360" spans="1:15" x14ac:dyDescent="0.3">
      <c r="A360">
        <v>10359</v>
      </c>
      <c r="B360" t="s">
        <v>21</v>
      </c>
      <c r="C360" s="3">
        <v>46378</v>
      </c>
      <c r="D360" t="s">
        <v>40</v>
      </c>
      <c r="E360" t="s">
        <v>41</v>
      </c>
      <c r="F360" t="s">
        <v>59</v>
      </c>
      <c r="G360" t="s">
        <v>75</v>
      </c>
      <c r="H360">
        <v>6</v>
      </c>
      <c r="I360">
        <v>150</v>
      </c>
      <c r="J360">
        <v>0.03</v>
      </c>
      <c r="K360" t="s">
        <v>38</v>
      </c>
      <c r="L360" t="s">
        <v>26</v>
      </c>
      <c r="M360" t="s">
        <v>187</v>
      </c>
      <c r="N360">
        <f>SalesTable[[#This Row],[الكمية]]*SalesTable[[#This Row],[سعر الوحدة]]</f>
        <v>900</v>
      </c>
      <c r="O360">
        <f>SalesTable[[#This Row],[الكمية]]*SalesTable[[#This Row],[سعر الوحدة]]*(1-SalesTable[[#This Row],[الخصم]])</f>
        <v>873</v>
      </c>
    </row>
    <row r="361" spans="1:15" x14ac:dyDescent="0.3">
      <c r="A361">
        <v>10360</v>
      </c>
      <c r="B361" t="s">
        <v>112</v>
      </c>
      <c r="C361" s="3">
        <v>46023</v>
      </c>
      <c r="D361" t="s">
        <v>29</v>
      </c>
      <c r="E361" t="s">
        <v>30</v>
      </c>
      <c r="F361" t="s">
        <v>87</v>
      </c>
      <c r="G361" t="s">
        <v>103</v>
      </c>
      <c r="H361">
        <v>5</v>
      </c>
      <c r="I361">
        <v>7500</v>
      </c>
      <c r="J361">
        <v>0.03</v>
      </c>
      <c r="K361" t="s">
        <v>33</v>
      </c>
      <c r="L361" t="s">
        <v>19</v>
      </c>
      <c r="M361" t="s">
        <v>297</v>
      </c>
      <c r="N361">
        <f>SalesTable[[#This Row],[الكمية]]*SalesTable[[#This Row],[سعر الوحدة]]</f>
        <v>37500</v>
      </c>
      <c r="O361">
        <f>SalesTable[[#This Row],[الكمية]]*SalesTable[[#This Row],[سعر الوحدة]]*(1-SalesTable[[#This Row],[الخصم]])</f>
        <v>36375</v>
      </c>
    </row>
    <row r="362" spans="1:15" x14ac:dyDescent="0.3">
      <c r="A362">
        <v>10361</v>
      </c>
      <c r="B362" t="s">
        <v>94</v>
      </c>
      <c r="C362" s="3">
        <v>46076</v>
      </c>
      <c r="D362" t="s">
        <v>95</v>
      </c>
      <c r="E362" t="s">
        <v>15</v>
      </c>
      <c r="F362" t="s">
        <v>49</v>
      </c>
      <c r="G362" t="s">
        <v>122</v>
      </c>
      <c r="H362">
        <v>4</v>
      </c>
      <c r="I362">
        <v>5200</v>
      </c>
      <c r="J362">
        <v>0.15</v>
      </c>
      <c r="K362" t="s">
        <v>33</v>
      </c>
      <c r="L362" t="s">
        <v>26</v>
      </c>
      <c r="M362" t="s">
        <v>121</v>
      </c>
      <c r="N362">
        <f>SalesTable[[#This Row],[الكمية]]*SalesTable[[#This Row],[سعر الوحدة]]</f>
        <v>20800</v>
      </c>
      <c r="O362">
        <f>SalesTable[[#This Row],[الكمية]]*SalesTable[[#This Row],[سعر الوحدة]]*(1-SalesTable[[#This Row],[الخصم]])</f>
        <v>17680</v>
      </c>
    </row>
    <row r="363" spans="1:15" x14ac:dyDescent="0.3">
      <c r="A363">
        <v>10362</v>
      </c>
      <c r="B363" t="s">
        <v>112</v>
      </c>
      <c r="C363" s="3">
        <v>46348</v>
      </c>
      <c r="D363" t="s">
        <v>81</v>
      </c>
      <c r="E363" t="s">
        <v>41</v>
      </c>
      <c r="F363" t="s">
        <v>16</v>
      </c>
      <c r="G363" t="s">
        <v>96</v>
      </c>
      <c r="H363">
        <v>6</v>
      </c>
      <c r="I363">
        <v>2200</v>
      </c>
      <c r="J363">
        <v>0.05</v>
      </c>
      <c r="K363" t="s">
        <v>18</v>
      </c>
      <c r="L363" t="s">
        <v>34</v>
      </c>
      <c r="M363" t="s">
        <v>166</v>
      </c>
      <c r="N363">
        <f>SalesTable[[#This Row],[الكمية]]*SalesTable[[#This Row],[سعر الوحدة]]</f>
        <v>13200</v>
      </c>
      <c r="O363">
        <f>SalesTable[[#This Row],[الكمية]]*SalesTable[[#This Row],[سعر الوحدة]]*(1-SalesTable[[#This Row],[الخصم]])</f>
        <v>12540</v>
      </c>
    </row>
    <row r="364" spans="1:15" x14ac:dyDescent="0.3">
      <c r="A364">
        <v>10363</v>
      </c>
      <c r="B364" t="s">
        <v>44</v>
      </c>
      <c r="C364" s="3">
        <v>46202</v>
      </c>
      <c r="D364" t="s">
        <v>22</v>
      </c>
      <c r="E364" t="s">
        <v>23</v>
      </c>
      <c r="F364" t="s">
        <v>87</v>
      </c>
      <c r="G364" t="s">
        <v>101</v>
      </c>
      <c r="H364">
        <v>4</v>
      </c>
      <c r="I364">
        <v>25000</v>
      </c>
      <c r="J364">
        <v>0.15</v>
      </c>
      <c r="K364" t="s">
        <v>38</v>
      </c>
      <c r="L364" t="s">
        <v>19</v>
      </c>
      <c r="M364" t="s">
        <v>298</v>
      </c>
      <c r="N364">
        <f>SalesTable[[#This Row],[الكمية]]*SalesTable[[#This Row],[سعر الوحدة]]</f>
        <v>100000</v>
      </c>
      <c r="O364">
        <f>SalesTable[[#This Row],[الكمية]]*SalesTable[[#This Row],[سعر الوحدة]]*(1-SalesTable[[#This Row],[الخصم]])</f>
        <v>85000</v>
      </c>
    </row>
    <row r="365" spans="1:15" x14ac:dyDescent="0.3">
      <c r="A365">
        <v>10364</v>
      </c>
      <c r="B365" t="s">
        <v>36</v>
      </c>
      <c r="C365" s="3">
        <v>46275</v>
      </c>
      <c r="D365" t="s">
        <v>22</v>
      </c>
      <c r="E365" t="s">
        <v>23</v>
      </c>
      <c r="F365" t="s">
        <v>84</v>
      </c>
      <c r="G365" t="s">
        <v>85</v>
      </c>
      <c r="H365">
        <v>7</v>
      </c>
      <c r="I365">
        <v>25000</v>
      </c>
      <c r="J365">
        <v>0.03</v>
      </c>
      <c r="K365" t="s">
        <v>33</v>
      </c>
      <c r="L365" t="s">
        <v>34</v>
      </c>
      <c r="M365" t="s">
        <v>27</v>
      </c>
      <c r="N365">
        <f>SalesTable[[#This Row],[الكمية]]*SalesTable[[#This Row],[سعر الوحدة]]</f>
        <v>175000</v>
      </c>
      <c r="O365">
        <f>SalesTable[[#This Row],[الكمية]]*SalesTable[[#This Row],[سعر الوحدة]]*(1-SalesTable[[#This Row],[الخصم]])</f>
        <v>169750</v>
      </c>
    </row>
    <row r="366" spans="1:15" x14ac:dyDescent="0.3">
      <c r="A366">
        <v>10365</v>
      </c>
      <c r="B366" t="s">
        <v>13</v>
      </c>
      <c r="C366" s="3">
        <v>46106</v>
      </c>
      <c r="D366" t="s">
        <v>29</v>
      </c>
      <c r="E366" t="s">
        <v>30</v>
      </c>
      <c r="F366" t="s">
        <v>16</v>
      </c>
      <c r="G366" t="s">
        <v>189</v>
      </c>
      <c r="H366">
        <v>10</v>
      </c>
      <c r="I366">
        <v>7500</v>
      </c>
      <c r="J366">
        <v>0.15</v>
      </c>
      <c r="K366" t="s">
        <v>33</v>
      </c>
      <c r="L366" t="s">
        <v>19</v>
      </c>
      <c r="M366" t="s">
        <v>299</v>
      </c>
      <c r="N366">
        <f>SalesTable[[#This Row],[الكمية]]*SalesTable[[#This Row],[سعر الوحدة]]</f>
        <v>75000</v>
      </c>
      <c r="O366">
        <f>SalesTable[[#This Row],[الكمية]]*SalesTable[[#This Row],[سعر الوحدة]]*(1-SalesTable[[#This Row],[الخصم]])</f>
        <v>63750</v>
      </c>
    </row>
    <row r="367" spans="1:15" x14ac:dyDescent="0.3">
      <c r="A367">
        <v>10366</v>
      </c>
      <c r="B367" t="s">
        <v>44</v>
      </c>
      <c r="C367" s="3">
        <v>46198</v>
      </c>
      <c r="D367" t="s">
        <v>110</v>
      </c>
      <c r="E367" t="s">
        <v>46</v>
      </c>
      <c r="F367" t="s">
        <v>24</v>
      </c>
      <c r="G367" t="s">
        <v>57</v>
      </c>
      <c r="H367">
        <v>5</v>
      </c>
      <c r="I367">
        <v>450</v>
      </c>
      <c r="J367">
        <v>0</v>
      </c>
      <c r="K367" t="s">
        <v>55</v>
      </c>
      <c r="L367" t="s">
        <v>47</v>
      </c>
      <c r="M367" t="s">
        <v>300</v>
      </c>
      <c r="N367">
        <f>SalesTable[[#This Row],[الكمية]]*SalesTable[[#This Row],[سعر الوحدة]]</f>
        <v>2250</v>
      </c>
      <c r="O367">
        <f>SalesTable[[#This Row],[الكمية]]*SalesTable[[#This Row],[سعر الوحدة]]*(1-SalesTable[[#This Row],[الخصم]])</f>
        <v>2250</v>
      </c>
    </row>
    <row r="368" spans="1:15" x14ac:dyDescent="0.3">
      <c r="A368">
        <v>10367</v>
      </c>
      <c r="B368" t="s">
        <v>94</v>
      </c>
      <c r="C368" s="3">
        <v>46270</v>
      </c>
      <c r="D368" t="s">
        <v>81</v>
      </c>
      <c r="E368" t="s">
        <v>41</v>
      </c>
      <c r="F368" t="s">
        <v>16</v>
      </c>
      <c r="G368" t="s">
        <v>17</v>
      </c>
      <c r="H368">
        <v>6</v>
      </c>
      <c r="I368">
        <v>2200</v>
      </c>
      <c r="J368">
        <v>0.1</v>
      </c>
      <c r="K368" t="s">
        <v>18</v>
      </c>
      <c r="L368" t="s">
        <v>47</v>
      </c>
      <c r="M368" t="s">
        <v>229</v>
      </c>
      <c r="N368">
        <f>SalesTable[[#This Row],[الكمية]]*SalesTable[[#This Row],[سعر الوحدة]]</f>
        <v>13200</v>
      </c>
      <c r="O368">
        <f>SalesTable[[#This Row],[الكمية]]*SalesTable[[#This Row],[سعر الوحدة]]*(1-SalesTable[[#This Row],[الخصم]])</f>
        <v>11880</v>
      </c>
    </row>
    <row r="369" spans="1:15" x14ac:dyDescent="0.3">
      <c r="A369">
        <v>10368</v>
      </c>
      <c r="B369" t="s">
        <v>67</v>
      </c>
      <c r="C369" s="3">
        <v>46128</v>
      </c>
      <c r="D369" t="s">
        <v>95</v>
      </c>
      <c r="E369" t="s">
        <v>15</v>
      </c>
      <c r="F369" t="s">
        <v>84</v>
      </c>
      <c r="G369" t="s">
        <v>120</v>
      </c>
      <c r="H369">
        <v>1</v>
      </c>
      <c r="I369">
        <v>5200</v>
      </c>
      <c r="J369">
        <v>0</v>
      </c>
      <c r="K369" t="s">
        <v>55</v>
      </c>
      <c r="L369" t="s">
        <v>47</v>
      </c>
      <c r="M369" t="s">
        <v>66</v>
      </c>
      <c r="N369">
        <f>SalesTable[[#This Row],[الكمية]]*SalesTable[[#This Row],[سعر الوحدة]]</f>
        <v>5200</v>
      </c>
      <c r="O369">
        <f>SalesTable[[#This Row],[الكمية]]*SalesTable[[#This Row],[سعر الوحدة]]*(1-SalesTable[[#This Row],[الخصم]])</f>
        <v>5200</v>
      </c>
    </row>
    <row r="370" spans="1:15" x14ac:dyDescent="0.3">
      <c r="A370">
        <v>10369</v>
      </c>
      <c r="B370" t="s">
        <v>13</v>
      </c>
      <c r="C370" s="3">
        <v>46072</v>
      </c>
      <c r="D370" t="s">
        <v>81</v>
      </c>
      <c r="E370" t="s">
        <v>41</v>
      </c>
      <c r="F370" t="s">
        <v>87</v>
      </c>
      <c r="G370" t="s">
        <v>103</v>
      </c>
      <c r="H370">
        <v>5</v>
      </c>
      <c r="I370">
        <v>2200</v>
      </c>
      <c r="J370">
        <v>0.05</v>
      </c>
      <c r="K370" t="s">
        <v>18</v>
      </c>
      <c r="L370" t="s">
        <v>47</v>
      </c>
      <c r="M370" t="s">
        <v>213</v>
      </c>
      <c r="N370">
        <f>SalesTable[[#This Row],[الكمية]]*SalesTable[[#This Row],[سعر الوحدة]]</f>
        <v>11000</v>
      </c>
      <c r="O370">
        <f>SalesTable[[#This Row],[الكمية]]*SalesTable[[#This Row],[سعر الوحدة]]*(1-SalesTable[[#This Row],[الخصم]])</f>
        <v>10450</v>
      </c>
    </row>
    <row r="371" spans="1:15" x14ac:dyDescent="0.3">
      <c r="A371">
        <v>10370</v>
      </c>
      <c r="B371" t="s">
        <v>28</v>
      </c>
      <c r="C371" s="3">
        <v>46241</v>
      </c>
      <c r="D371" t="s">
        <v>53</v>
      </c>
      <c r="E371" t="s">
        <v>15</v>
      </c>
      <c r="F371" t="s">
        <v>59</v>
      </c>
      <c r="G371" t="s">
        <v>60</v>
      </c>
      <c r="H371">
        <v>1</v>
      </c>
      <c r="I371">
        <v>3200</v>
      </c>
      <c r="J371">
        <v>0.05</v>
      </c>
      <c r="K371" t="s">
        <v>18</v>
      </c>
      <c r="L371" t="s">
        <v>34</v>
      </c>
      <c r="M371" t="s">
        <v>237</v>
      </c>
      <c r="N371">
        <f>SalesTable[[#This Row],[الكمية]]*SalesTable[[#This Row],[سعر الوحدة]]</f>
        <v>3200</v>
      </c>
      <c r="O371">
        <f>SalesTable[[#This Row],[الكمية]]*SalesTable[[#This Row],[سعر الوحدة]]*(1-SalesTable[[#This Row],[الخصم]])</f>
        <v>3040</v>
      </c>
    </row>
    <row r="372" spans="1:15" x14ac:dyDescent="0.3">
      <c r="A372">
        <v>10371</v>
      </c>
      <c r="B372" t="s">
        <v>52</v>
      </c>
      <c r="C372" s="3">
        <v>46064</v>
      </c>
      <c r="D372" t="s">
        <v>45</v>
      </c>
      <c r="E372" t="s">
        <v>46</v>
      </c>
      <c r="F372" t="s">
        <v>16</v>
      </c>
      <c r="G372" t="s">
        <v>17</v>
      </c>
      <c r="H372">
        <v>4</v>
      </c>
      <c r="I372">
        <v>1200</v>
      </c>
      <c r="J372">
        <v>0.03</v>
      </c>
      <c r="K372" t="s">
        <v>33</v>
      </c>
      <c r="L372" t="s">
        <v>19</v>
      </c>
      <c r="M372" t="s">
        <v>72</v>
      </c>
      <c r="N372">
        <f>SalesTable[[#This Row],[الكمية]]*SalesTable[[#This Row],[سعر الوحدة]]</f>
        <v>4800</v>
      </c>
      <c r="O372">
        <f>SalesTable[[#This Row],[الكمية]]*SalesTable[[#This Row],[سعر الوحدة]]*(1-SalesTable[[#This Row],[الخصم]])</f>
        <v>4656</v>
      </c>
    </row>
    <row r="373" spans="1:15" x14ac:dyDescent="0.3">
      <c r="A373">
        <v>10372</v>
      </c>
      <c r="B373" t="s">
        <v>52</v>
      </c>
      <c r="C373" s="3">
        <v>46069</v>
      </c>
      <c r="D373" t="s">
        <v>40</v>
      </c>
      <c r="E373" t="s">
        <v>41</v>
      </c>
      <c r="F373" t="s">
        <v>84</v>
      </c>
      <c r="G373" t="s">
        <v>85</v>
      </c>
      <c r="H373">
        <v>8</v>
      </c>
      <c r="I373">
        <v>150</v>
      </c>
      <c r="J373">
        <v>0.15</v>
      </c>
      <c r="K373" t="s">
        <v>33</v>
      </c>
      <c r="L373" t="s">
        <v>26</v>
      </c>
      <c r="M373" t="s">
        <v>140</v>
      </c>
      <c r="N373">
        <f>SalesTable[[#This Row],[الكمية]]*SalesTable[[#This Row],[سعر الوحدة]]</f>
        <v>1200</v>
      </c>
      <c r="O373">
        <f>SalesTable[[#This Row],[الكمية]]*SalesTable[[#This Row],[سعر الوحدة]]*(1-SalesTable[[#This Row],[الخصم]])</f>
        <v>1020</v>
      </c>
    </row>
    <row r="374" spans="1:15" x14ac:dyDescent="0.3">
      <c r="A374">
        <v>10373</v>
      </c>
      <c r="B374" t="s">
        <v>28</v>
      </c>
      <c r="C374" s="3">
        <v>46157</v>
      </c>
      <c r="D374" t="s">
        <v>90</v>
      </c>
      <c r="E374" t="s">
        <v>91</v>
      </c>
      <c r="F374" t="s">
        <v>84</v>
      </c>
      <c r="G374" t="s">
        <v>85</v>
      </c>
      <c r="H374">
        <v>3</v>
      </c>
      <c r="I374">
        <v>6500</v>
      </c>
      <c r="J374">
        <v>7.0000000000000007E-2</v>
      </c>
      <c r="K374" t="s">
        <v>33</v>
      </c>
      <c r="L374" t="s">
        <v>47</v>
      </c>
      <c r="M374" t="s">
        <v>301</v>
      </c>
      <c r="N374">
        <f>SalesTable[[#This Row],[الكمية]]*SalesTable[[#This Row],[سعر الوحدة]]</f>
        <v>19500</v>
      </c>
      <c r="O374">
        <f>SalesTable[[#This Row],[الكمية]]*SalesTable[[#This Row],[سعر الوحدة]]*(1-SalesTable[[#This Row],[الخصم]])</f>
        <v>18135</v>
      </c>
    </row>
    <row r="375" spans="1:15" x14ac:dyDescent="0.3">
      <c r="A375">
        <v>10374</v>
      </c>
      <c r="B375" t="s">
        <v>44</v>
      </c>
      <c r="C375" s="3">
        <v>46066</v>
      </c>
      <c r="D375" t="s">
        <v>45</v>
      </c>
      <c r="E375" t="s">
        <v>46</v>
      </c>
      <c r="F375" t="s">
        <v>87</v>
      </c>
      <c r="G375" t="s">
        <v>103</v>
      </c>
      <c r="H375">
        <v>1</v>
      </c>
      <c r="I375">
        <v>1200</v>
      </c>
      <c r="J375">
        <v>0.03</v>
      </c>
      <c r="K375" t="s">
        <v>38</v>
      </c>
      <c r="L375" t="s">
        <v>47</v>
      </c>
      <c r="M375" t="s">
        <v>302</v>
      </c>
      <c r="N375">
        <f>SalesTable[[#This Row],[الكمية]]*SalesTable[[#This Row],[سعر الوحدة]]</f>
        <v>1200</v>
      </c>
      <c r="O375">
        <f>SalesTable[[#This Row],[الكمية]]*SalesTable[[#This Row],[سعر الوحدة]]*(1-SalesTable[[#This Row],[الخصم]])</f>
        <v>1164</v>
      </c>
    </row>
    <row r="376" spans="1:15" x14ac:dyDescent="0.3">
      <c r="A376">
        <v>10375</v>
      </c>
      <c r="B376" t="s">
        <v>21</v>
      </c>
      <c r="C376" s="3">
        <v>46374</v>
      </c>
      <c r="D376" t="s">
        <v>53</v>
      </c>
      <c r="E376" t="s">
        <v>15</v>
      </c>
      <c r="F376" t="s">
        <v>24</v>
      </c>
      <c r="G376" t="s">
        <v>42</v>
      </c>
      <c r="H376">
        <v>9</v>
      </c>
      <c r="I376">
        <v>3200</v>
      </c>
      <c r="J376">
        <v>7.0000000000000007E-2</v>
      </c>
      <c r="K376" t="s">
        <v>33</v>
      </c>
      <c r="L376" t="s">
        <v>26</v>
      </c>
      <c r="M376" t="s">
        <v>208</v>
      </c>
      <c r="N376">
        <f>SalesTable[[#This Row],[الكمية]]*SalesTable[[#This Row],[سعر الوحدة]]</f>
        <v>28800</v>
      </c>
      <c r="O376">
        <f>SalesTable[[#This Row],[الكمية]]*SalesTable[[#This Row],[سعر الوحدة]]*(1-SalesTable[[#This Row],[الخصم]])</f>
        <v>26784</v>
      </c>
    </row>
    <row r="377" spans="1:15" x14ac:dyDescent="0.3">
      <c r="A377">
        <v>10376</v>
      </c>
      <c r="B377" t="s">
        <v>94</v>
      </c>
      <c r="C377" s="3">
        <v>46287</v>
      </c>
      <c r="D377" t="s">
        <v>110</v>
      </c>
      <c r="E377" t="s">
        <v>46</v>
      </c>
      <c r="F377" t="s">
        <v>16</v>
      </c>
      <c r="G377" t="s">
        <v>189</v>
      </c>
      <c r="H377">
        <v>1</v>
      </c>
      <c r="I377">
        <v>450</v>
      </c>
      <c r="J377">
        <v>0.1</v>
      </c>
      <c r="K377" t="s">
        <v>55</v>
      </c>
      <c r="L377" t="s">
        <v>19</v>
      </c>
      <c r="M377" t="s">
        <v>303</v>
      </c>
      <c r="N377">
        <f>SalesTable[[#This Row],[الكمية]]*SalesTable[[#This Row],[سعر الوحدة]]</f>
        <v>450</v>
      </c>
      <c r="O377">
        <f>SalesTable[[#This Row],[الكمية]]*SalesTable[[#This Row],[سعر الوحدة]]*(1-SalesTable[[#This Row],[الخصم]])</f>
        <v>405</v>
      </c>
    </row>
    <row r="378" spans="1:15" x14ac:dyDescent="0.3">
      <c r="A378">
        <v>10377</v>
      </c>
      <c r="B378" t="s">
        <v>28</v>
      </c>
      <c r="C378" s="3">
        <v>46239</v>
      </c>
      <c r="D378" t="s">
        <v>37</v>
      </c>
      <c r="E378" t="s">
        <v>23</v>
      </c>
      <c r="F378" t="s">
        <v>64</v>
      </c>
      <c r="G378" t="s">
        <v>184</v>
      </c>
      <c r="H378">
        <v>4</v>
      </c>
      <c r="I378">
        <v>32000</v>
      </c>
      <c r="J378">
        <v>0.03</v>
      </c>
      <c r="K378" t="s">
        <v>18</v>
      </c>
      <c r="L378" t="s">
        <v>47</v>
      </c>
      <c r="M378" t="s">
        <v>286</v>
      </c>
      <c r="N378">
        <f>SalesTable[[#This Row],[الكمية]]*SalesTable[[#This Row],[سعر الوحدة]]</f>
        <v>128000</v>
      </c>
      <c r="O378">
        <f>SalesTable[[#This Row],[الكمية]]*SalesTable[[#This Row],[سعر الوحدة]]*(1-SalesTable[[#This Row],[الخصم]])</f>
        <v>124160</v>
      </c>
    </row>
    <row r="379" spans="1:15" x14ac:dyDescent="0.3">
      <c r="A379">
        <v>10378</v>
      </c>
      <c r="B379" t="s">
        <v>44</v>
      </c>
      <c r="C379" s="3">
        <v>46067</v>
      </c>
      <c r="D379" t="s">
        <v>68</v>
      </c>
      <c r="E379" t="s">
        <v>46</v>
      </c>
      <c r="F379" t="s">
        <v>64</v>
      </c>
      <c r="G379" t="s">
        <v>107</v>
      </c>
      <c r="H379">
        <v>6</v>
      </c>
      <c r="I379">
        <v>1400</v>
      </c>
      <c r="J379">
        <v>0.15</v>
      </c>
      <c r="K379" t="s">
        <v>33</v>
      </c>
      <c r="L379" t="s">
        <v>47</v>
      </c>
      <c r="M379" t="s">
        <v>164</v>
      </c>
      <c r="N379">
        <f>SalesTable[[#This Row],[الكمية]]*SalesTable[[#This Row],[سعر الوحدة]]</f>
        <v>8400</v>
      </c>
      <c r="O379">
        <f>SalesTable[[#This Row],[الكمية]]*SalesTable[[#This Row],[سعر الوحدة]]*(1-SalesTable[[#This Row],[الخصم]])</f>
        <v>7140</v>
      </c>
    </row>
    <row r="380" spans="1:15" x14ac:dyDescent="0.3">
      <c r="A380">
        <v>10379</v>
      </c>
      <c r="B380" t="s">
        <v>94</v>
      </c>
      <c r="C380" s="3">
        <v>46323</v>
      </c>
      <c r="D380" t="s">
        <v>70</v>
      </c>
      <c r="E380" t="s">
        <v>46</v>
      </c>
      <c r="F380" t="s">
        <v>87</v>
      </c>
      <c r="G380" t="s">
        <v>103</v>
      </c>
      <c r="H380">
        <v>8</v>
      </c>
      <c r="I380">
        <v>1800</v>
      </c>
      <c r="J380">
        <v>0</v>
      </c>
      <c r="K380" t="s">
        <v>33</v>
      </c>
      <c r="L380" t="s">
        <v>19</v>
      </c>
      <c r="M380" t="s">
        <v>179</v>
      </c>
      <c r="N380">
        <f>SalesTable[[#This Row],[الكمية]]*SalesTable[[#This Row],[سعر الوحدة]]</f>
        <v>14400</v>
      </c>
      <c r="O380">
        <f>SalesTable[[#This Row],[الكمية]]*SalesTable[[#This Row],[سعر الوحدة]]*(1-SalesTable[[#This Row],[الخصم]])</f>
        <v>14400</v>
      </c>
    </row>
    <row r="381" spans="1:15" x14ac:dyDescent="0.3">
      <c r="A381">
        <v>10380</v>
      </c>
      <c r="B381" t="s">
        <v>44</v>
      </c>
      <c r="C381" s="3">
        <v>46169</v>
      </c>
      <c r="D381" t="s">
        <v>37</v>
      </c>
      <c r="E381" t="s">
        <v>23</v>
      </c>
      <c r="F381" t="s">
        <v>64</v>
      </c>
      <c r="G381" t="s">
        <v>71</v>
      </c>
      <c r="H381">
        <v>2</v>
      </c>
      <c r="I381">
        <v>32000</v>
      </c>
      <c r="J381">
        <v>0.1</v>
      </c>
      <c r="K381" t="s">
        <v>38</v>
      </c>
      <c r="L381" t="s">
        <v>47</v>
      </c>
      <c r="M381" t="s">
        <v>39</v>
      </c>
      <c r="N381">
        <f>SalesTable[[#This Row],[الكمية]]*SalesTable[[#This Row],[سعر الوحدة]]</f>
        <v>64000</v>
      </c>
      <c r="O381">
        <f>SalesTable[[#This Row],[الكمية]]*SalesTable[[#This Row],[سعر الوحدة]]*(1-SalesTable[[#This Row],[الخصم]])</f>
        <v>57600</v>
      </c>
    </row>
    <row r="382" spans="1:15" x14ac:dyDescent="0.3">
      <c r="A382">
        <v>10381</v>
      </c>
      <c r="B382" t="s">
        <v>28</v>
      </c>
      <c r="C382" s="3">
        <v>46111</v>
      </c>
      <c r="D382" t="s">
        <v>29</v>
      </c>
      <c r="E382" t="s">
        <v>30</v>
      </c>
      <c r="F382" t="s">
        <v>59</v>
      </c>
      <c r="G382" t="s">
        <v>75</v>
      </c>
      <c r="H382">
        <v>10</v>
      </c>
      <c r="I382">
        <v>7500</v>
      </c>
      <c r="J382">
        <v>7.0000000000000007E-2</v>
      </c>
      <c r="K382" t="s">
        <v>38</v>
      </c>
      <c r="L382" t="s">
        <v>47</v>
      </c>
      <c r="M382" t="s">
        <v>225</v>
      </c>
      <c r="N382">
        <f>SalesTable[[#This Row],[الكمية]]*SalesTable[[#This Row],[سعر الوحدة]]</f>
        <v>75000</v>
      </c>
      <c r="O382">
        <f>SalesTable[[#This Row],[الكمية]]*SalesTable[[#This Row],[سعر الوحدة]]*(1-SalesTable[[#This Row],[الخصم]])</f>
        <v>69750</v>
      </c>
    </row>
    <row r="383" spans="1:15" x14ac:dyDescent="0.3">
      <c r="A383">
        <v>10382</v>
      </c>
      <c r="B383" t="s">
        <v>13</v>
      </c>
      <c r="C383" s="3">
        <v>46048</v>
      </c>
      <c r="D383" t="s">
        <v>95</v>
      </c>
      <c r="E383" t="s">
        <v>15</v>
      </c>
      <c r="F383" t="s">
        <v>84</v>
      </c>
      <c r="G383" t="s">
        <v>120</v>
      </c>
      <c r="H383">
        <v>7</v>
      </c>
      <c r="I383">
        <v>5200</v>
      </c>
      <c r="J383">
        <v>0.05</v>
      </c>
      <c r="K383" t="s">
        <v>33</v>
      </c>
      <c r="L383" t="s">
        <v>34</v>
      </c>
      <c r="M383" t="s">
        <v>304</v>
      </c>
      <c r="N383">
        <f>SalesTable[[#This Row],[الكمية]]*SalesTable[[#This Row],[سعر الوحدة]]</f>
        <v>36400</v>
      </c>
      <c r="O383">
        <f>SalesTable[[#This Row],[الكمية]]*SalesTable[[#This Row],[سعر الوحدة]]*(1-SalesTable[[#This Row],[الخصم]])</f>
        <v>34580</v>
      </c>
    </row>
    <row r="384" spans="1:15" x14ac:dyDescent="0.3">
      <c r="A384">
        <v>10383</v>
      </c>
      <c r="B384" t="s">
        <v>62</v>
      </c>
      <c r="C384" s="3">
        <v>46379</v>
      </c>
      <c r="D384" t="s">
        <v>22</v>
      </c>
      <c r="E384" t="s">
        <v>23</v>
      </c>
      <c r="F384" t="s">
        <v>49</v>
      </c>
      <c r="G384" t="s">
        <v>98</v>
      </c>
      <c r="H384">
        <v>5</v>
      </c>
      <c r="I384">
        <v>25000</v>
      </c>
      <c r="J384">
        <v>0.05</v>
      </c>
      <c r="K384" t="s">
        <v>18</v>
      </c>
      <c r="L384" t="s">
        <v>26</v>
      </c>
      <c r="M384" t="s">
        <v>234</v>
      </c>
      <c r="N384">
        <f>SalesTable[[#This Row],[الكمية]]*SalesTable[[#This Row],[سعر الوحدة]]</f>
        <v>125000</v>
      </c>
      <c r="O384">
        <f>SalesTable[[#This Row],[الكمية]]*SalesTable[[#This Row],[سعر الوحدة]]*(1-SalesTable[[#This Row],[الخصم]])</f>
        <v>118750</v>
      </c>
    </row>
    <row r="385" spans="1:15" x14ac:dyDescent="0.3">
      <c r="A385">
        <v>10384</v>
      </c>
      <c r="B385" t="s">
        <v>36</v>
      </c>
      <c r="C385" s="3">
        <v>46332</v>
      </c>
      <c r="D385" t="s">
        <v>110</v>
      </c>
      <c r="E385" t="s">
        <v>46</v>
      </c>
      <c r="F385" t="s">
        <v>59</v>
      </c>
      <c r="G385" t="s">
        <v>105</v>
      </c>
      <c r="H385">
        <v>5</v>
      </c>
      <c r="I385">
        <v>450</v>
      </c>
      <c r="J385">
        <v>0.15</v>
      </c>
      <c r="K385" t="s">
        <v>18</v>
      </c>
      <c r="L385" t="s">
        <v>26</v>
      </c>
      <c r="M385" t="s">
        <v>152</v>
      </c>
      <c r="N385">
        <f>SalesTable[[#This Row],[الكمية]]*SalesTable[[#This Row],[سعر الوحدة]]</f>
        <v>2250</v>
      </c>
      <c r="O385">
        <f>SalesTable[[#This Row],[الكمية]]*SalesTable[[#This Row],[سعر الوحدة]]*(1-SalesTable[[#This Row],[الخصم]])</f>
        <v>1912.5</v>
      </c>
    </row>
    <row r="386" spans="1:15" x14ac:dyDescent="0.3">
      <c r="A386">
        <v>10385</v>
      </c>
      <c r="B386" t="s">
        <v>67</v>
      </c>
      <c r="C386" s="3">
        <v>46051</v>
      </c>
      <c r="D386" t="s">
        <v>45</v>
      </c>
      <c r="E386" t="s">
        <v>46</v>
      </c>
      <c r="F386" t="s">
        <v>84</v>
      </c>
      <c r="G386" t="s">
        <v>113</v>
      </c>
      <c r="H386">
        <v>8</v>
      </c>
      <c r="I386">
        <v>1200</v>
      </c>
      <c r="J386">
        <v>0.1</v>
      </c>
      <c r="K386" t="s">
        <v>55</v>
      </c>
      <c r="L386" t="s">
        <v>19</v>
      </c>
      <c r="M386" t="s">
        <v>305</v>
      </c>
      <c r="N386">
        <f>SalesTable[[#This Row],[الكمية]]*SalesTable[[#This Row],[سعر الوحدة]]</f>
        <v>9600</v>
      </c>
      <c r="O386">
        <f>SalesTable[[#This Row],[الكمية]]*SalesTable[[#This Row],[سعر الوحدة]]*(1-SalesTable[[#This Row],[الخصم]])</f>
        <v>8640</v>
      </c>
    </row>
    <row r="387" spans="1:15" x14ac:dyDescent="0.3">
      <c r="A387">
        <v>10386</v>
      </c>
      <c r="B387" t="s">
        <v>28</v>
      </c>
      <c r="C387" s="3">
        <v>46111</v>
      </c>
      <c r="D387" t="s">
        <v>81</v>
      </c>
      <c r="E387" t="s">
        <v>41</v>
      </c>
      <c r="F387" t="s">
        <v>84</v>
      </c>
      <c r="G387" t="s">
        <v>120</v>
      </c>
      <c r="H387">
        <v>9</v>
      </c>
      <c r="I387">
        <v>2200</v>
      </c>
      <c r="J387">
        <v>0.1</v>
      </c>
      <c r="K387" t="s">
        <v>55</v>
      </c>
      <c r="L387" t="s">
        <v>26</v>
      </c>
      <c r="M387" t="s">
        <v>92</v>
      </c>
      <c r="N387">
        <f>SalesTable[[#This Row],[الكمية]]*SalesTable[[#This Row],[سعر الوحدة]]</f>
        <v>19800</v>
      </c>
      <c r="O387">
        <f>SalesTable[[#This Row],[الكمية]]*SalesTable[[#This Row],[سعر الوحدة]]*(1-SalesTable[[#This Row],[الخصم]])</f>
        <v>17820</v>
      </c>
    </row>
    <row r="388" spans="1:15" x14ac:dyDescent="0.3">
      <c r="A388">
        <v>10387</v>
      </c>
      <c r="B388" t="s">
        <v>13</v>
      </c>
      <c r="C388" s="3">
        <v>46163</v>
      </c>
      <c r="D388" t="s">
        <v>45</v>
      </c>
      <c r="E388" t="s">
        <v>46</v>
      </c>
      <c r="F388" t="s">
        <v>24</v>
      </c>
      <c r="G388" t="s">
        <v>42</v>
      </c>
      <c r="H388">
        <v>1</v>
      </c>
      <c r="I388">
        <v>1200</v>
      </c>
      <c r="J388">
        <v>0.05</v>
      </c>
      <c r="K388" t="s">
        <v>38</v>
      </c>
      <c r="L388" t="s">
        <v>47</v>
      </c>
      <c r="M388" t="s">
        <v>129</v>
      </c>
      <c r="N388">
        <f>SalesTable[[#This Row],[الكمية]]*SalesTable[[#This Row],[سعر الوحدة]]</f>
        <v>1200</v>
      </c>
      <c r="O388">
        <f>SalesTable[[#This Row],[الكمية]]*SalesTable[[#This Row],[سعر الوحدة]]*(1-SalesTable[[#This Row],[الخصم]])</f>
        <v>1140</v>
      </c>
    </row>
    <row r="389" spans="1:15" x14ac:dyDescent="0.3">
      <c r="A389">
        <v>10388</v>
      </c>
      <c r="B389" t="s">
        <v>62</v>
      </c>
      <c r="C389" s="3">
        <v>46327</v>
      </c>
      <c r="D389" t="s">
        <v>29</v>
      </c>
      <c r="E389" t="s">
        <v>30</v>
      </c>
      <c r="F389" t="s">
        <v>16</v>
      </c>
      <c r="G389" t="s">
        <v>17</v>
      </c>
      <c r="H389">
        <v>4</v>
      </c>
      <c r="I389">
        <v>7500</v>
      </c>
      <c r="J389">
        <v>0.05</v>
      </c>
      <c r="K389" t="s">
        <v>33</v>
      </c>
      <c r="L389" t="s">
        <v>26</v>
      </c>
      <c r="M389" t="s">
        <v>306</v>
      </c>
      <c r="N389">
        <f>SalesTable[[#This Row],[الكمية]]*SalesTable[[#This Row],[سعر الوحدة]]</f>
        <v>30000</v>
      </c>
      <c r="O389">
        <f>SalesTable[[#This Row],[الكمية]]*SalesTable[[#This Row],[سعر الوحدة]]*(1-SalesTable[[#This Row],[الخصم]])</f>
        <v>28500</v>
      </c>
    </row>
    <row r="390" spans="1:15" x14ac:dyDescent="0.3">
      <c r="A390">
        <v>10389</v>
      </c>
      <c r="B390" t="s">
        <v>44</v>
      </c>
      <c r="C390" s="3">
        <v>46168</v>
      </c>
      <c r="D390" t="s">
        <v>95</v>
      </c>
      <c r="E390" t="s">
        <v>15</v>
      </c>
      <c r="F390" t="s">
        <v>49</v>
      </c>
      <c r="G390" t="s">
        <v>98</v>
      </c>
      <c r="H390">
        <v>3</v>
      </c>
      <c r="I390">
        <v>5200</v>
      </c>
      <c r="J390">
        <v>0.05</v>
      </c>
      <c r="K390" t="s">
        <v>18</v>
      </c>
      <c r="L390" t="s">
        <v>47</v>
      </c>
      <c r="M390" t="s">
        <v>128</v>
      </c>
      <c r="N390">
        <f>SalesTable[[#This Row],[الكمية]]*SalesTable[[#This Row],[سعر الوحدة]]</f>
        <v>15600</v>
      </c>
      <c r="O390">
        <f>SalesTable[[#This Row],[الكمية]]*SalesTable[[#This Row],[سعر الوحدة]]*(1-SalesTable[[#This Row],[الخصم]])</f>
        <v>14820</v>
      </c>
    </row>
    <row r="391" spans="1:15" x14ac:dyDescent="0.3">
      <c r="A391">
        <v>10390</v>
      </c>
      <c r="B391" t="s">
        <v>13</v>
      </c>
      <c r="C391" s="3">
        <v>46160</v>
      </c>
      <c r="D391" t="s">
        <v>37</v>
      </c>
      <c r="E391" t="s">
        <v>23</v>
      </c>
      <c r="F391" t="s">
        <v>31</v>
      </c>
      <c r="G391" t="s">
        <v>54</v>
      </c>
      <c r="H391">
        <v>4</v>
      </c>
      <c r="I391">
        <v>32000</v>
      </c>
      <c r="J391">
        <v>0.15</v>
      </c>
      <c r="K391" t="s">
        <v>33</v>
      </c>
      <c r="L391" t="s">
        <v>19</v>
      </c>
      <c r="M391" t="s">
        <v>260</v>
      </c>
      <c r="N391">
        <f>SalesTable[[#This Row],[الكمية]]*SalesTable[[#This Row],[سعر الوحدة]]</f>
        <v>128000</v>
      </c>
      <c r="O391">
        <f>SalesTable[[#This Row],[الكمية]]*SalesTable[[#This Row],[سعر الوحدة]]*(1-SalesTable[[#This Row],[الخصم]])</f>
        <v>108800</v>
      </c>
    </row>
    <row r="392" spans="1:15" x14ac:dyDescent="0.3">
      <c r="A392">
        <v>10391</v>
      </c>
      <c r="B392" t="s">
        <v>13</v>
      </c>
      <c r="C392" s="3">
        <v>46152</v>
      </c>
      <c r="D392" t="s">
        <v>48</v>
      </c>
      <c r="E392" t="s">
        <v>30</v>
      </c>
      <c r="F392" t="s">
        <v>64</v>
      </c>
      <c r="G392" t="s">
        <v>184</v>
      </c>
      <c r="H392">
        <v>10</v>
      </c>
      <c r="I392">
        <v>9000</v>
      </c>
      <c r="J392">
        <v>0</v>
      </c>
      <c r="K392" t="s">
        <v>38</v>
      </c>
      <c r="L392" t="s">
        <v>34</v>
      </c>
      <c r="M392" t="s">
        <v>20</v>
      </c>
      <c r="N392">
        <f>SalesTable[[#This Row],[الكمية]]*SalesTable[[#This Row],[سعر الوحدة]]</f>
        <v>90000</v>
      </c>
      <c r="O392">
        <f>SalesTable[[#This Row],[الكمية]]*SalesTable[[#This Row],[سعر الوحدة]]*(1-SalesTable[[#This Row],[الخصم]])</f>
        <v>90000</v>
      </c>
    </row>
    <row r="393" spans="1:15" x14ac:dyDescent="0.3">
      <c r="A393">
        <v>10392</v>
      </c>
      <c r="B393" t="s">
        <v>13</v>
      </c>
      <c r="C393" s="3">
        <v>46261</v>
      </c>
      <c r="D393" t="s">
        <v>90</v>
      </c>
      <c r="E393" t="s">
        <v>91</v>
      </c>
      <c r="F393" t="s">
        <v>84</v>
      </c>
      <c r="G393" t="s">
        <v>85</v>
      </c>
      <c r="H393">
        <v>8</v>
      </c>
      <c r="I393">
        <v>6500</v>
      </c>
      <c r="J393">
        <v>0.05</v>
      </c>
      <c r="K393" t="s">
        <v>38</v>
      </c>
      <c r="L393" t="s">
        <v>47</v>
      </c>
      <c r="M393" t="s">
        <v>307</v>
      </c>
      <c r="N393">
        <f>SalesTable[[#This Row],[الكمية]]*SalesTable[[#This Row],[سعر الوحدة]]</f>
        <v>52000</v>
      </c>
      <c r="O393">
        <f>SalesTable[[#This Row],[الكمية]]*SalesTable[[#This Row],[سعر الوحدة]]*(1-SalesTable[[#This Row],[الخصم]])</f>
        <v>49400</v>
      </c>
    </row>
    <row r="394" spans="1:15" x14ac:dyDescent="0.3">
      <c r="A394">
        <v>10393</v>
      </c>
      <c r="B394" t="s">
        <v>94</v>
      </c>
      <c r="C394" s="3">
        <v>46334</v>
      </c>
      <c r="D394" t="s">
        <v>104</v>
      </c>
      <c r="E394" t="s">
        <v>23</v>
      </c>
      <c r="F394" t="s">
        <v>24</v>
      </c>
      <c r="G394" t="s">
        <v>57</v>
      </c>
      <c r="H394">
        <v>9</v>
      </c>
      <c r="I394">
        <v>28000</v>
      </c>
      <c r="J394">
        <v>0.15</v>
      </c>
      <c r="K394" t="s">
        <v>38</v>
      </c>
      <c r="L394" t="s">
        <v>34</v>
      </c>
      <c r="M394" t="s">
        <v>308</v>
      </c>
      <c r="N394">
        <f>SalesTable[[#This Row],[الكمية]]*SalesTable[[#This Row],[سعر الوحدة]]</f>
        <v>252000</v>
      </c>
      <c r="O394">
        <f>SalesTable[[#This Row],[الكمية]]*SalesTable[[#This Row],[سعر الوحدة]]*(1-SalesTable[[#This Row],[الخصم]])</f>
        <v>214200</v>
      </c>
    </row>
    <row r="395" spans="1:15" x14ac:dyDescent="0.3">
      <c r="A395">
        <v>10394</v>
      </c>
      <c r="B395" t="s">
        <v>67</v>
      </c>
      <c r="C395" s="3">
        <v>46164</v>
      </c>
      <c r="D395" t="s">
        <v>48</v>
      </c>
      <c r="E395" t="s">
        <v>30</v>
      </c>
      <c r="F395" t="s">
        <v>16</v>
      </c>
      <c r="G395" t="s">
        <v>79</v>
      </c>
      <c r="H395">
        <v>5</v>
      </c>
      <c r="I395">
        <v>9000</v>
      </c>
      <c r="J395">
        <v>0.15</v>
      </c>
      <c r="K395" t="s">
        <v>38</v>
      </c>
      <c r="L395" t="s">
        <v>34</v>
      </c>
      <c r="M395" t="s">
        <v>167</v>
      </c>
      <c r="N395">
        <f>SalesTable[[#This Row],[الكمية]]*SalesTable[[#This Row],[سعر الوحدة]]</f>
        <v>45000</v>
      </c>
      <c r="O395">
        <f>SalesTable[[#This Row],[الكمية]]*SalesTable[[#This Row],[سعر الوحدة]]*(1-SalesTable[[#This Row],[الخصم]])</f>
        <v>38250</v>
      </c>
    </row>
    <row r="396" spans="1:15" x14ac:dyDescent="0.3">
      <c r="A396">
        <v>10395</v>
      </c>
      <c r="B396" t="s">
        <v>67</v>
      </c>
      <c r="C396" s="3">
        <v>46371</v>
      </c>
      <c r="D396" t="s">
        <v>37</v>
      </c>
      <c r="E396" t="s">
        <v>23</v>
      </c>
      <c r="F396" t="s">
        <v>31</v>
      </c>
      <c r="G396" t="s">
        <v>54</v>
      </c>
      <c r="H396">
        <v>10</v>
      </c>
      <c r="I396">
        <v>32000</v>
      </c>
      <c r="J396">
        <v>7.0000000000000007E-2</v>
      </c>
      <c r="K396" t="s">
        <v>55</v>
      </c>
      <c r="L396" t="s">
        <v>19</v>
      </c>
      <c r="M396" t="s">
        <v>233</v>
      </c>
      <c r="N396">
        <f>SalesTable[[#This Row],[الكمية]]*SalesTable[[#This Row],[سعر الوحدة]]</f>
        <v>320000</v>
      </c>
      <c r="O396">
        <f>SalesTable[[#This Row],[الكمية]]*SalesTable[[#This Row],[سعر الوحدة]]*(1-SalesTable[[#This Row],[الخصم]])</f>
        <v>297600</v>
      </c>
    </row>
    <row r="397" spans="1:15" x14ac:dyDescent="0.3">
      <c r="A397">
        <v>10396</v>
      </c>
      <c r="B397" t="s">
        <v>28</v>
      </c>
      <c r="C397" s="3">
        <v>46321</v>
      </c>
      <c r="D397" t="s">
        <v>110</v>
      </c>
      <c r="E397" t="s">
        <v>46</v>
      </c>
      <c r="F397" t="s">
        <v>87</v>
      </c>
      <c r="G397" t="s">
        <v>88</v>
      </c>
      <c r="H397">
        <v>7</v>
      </c>
      <c r="I397">
        <v>450</v>
      </c>
      <c r="J397">
        <v>7.0000000000000007E-2</v>
      </c>
      <c r="K397" t="s">
        <v>55</v>
      </c>
      <c r="L397" t="s">
        <v>34</v>
      </c>
      <c r="M397" t="s">
        <v>309</v>
      </c>
      <c r="N397">
        <f>SalesTable[[#This Row],[الكمية]]*SalesTable[[#This Row],[سعر الوحدة]]</f>
        <v>3150</v>
      </c>
      <c r="O397">
        <f>SalesTable[[#This Row],[الكمية]]*SalesTable[[#This Row],[سعر الوحدة]]*(1-SalesTable[[#This Row],[الخصم]])</f>
        <v>2929.5</v>
      </c>
    </row>
    <row r="398" spans="1:15" x14ac:dyDescent="0.3">
      <c r="A398">
        <v>10397</v>
      </c>
      <c r="B398" t="s">
        <v>52</v>
      </c>
      <c r="C398" s="3">
        <v>46110</v>
      </c>
      <c r="D398" t="s">
        <v>14</v>
      </c>
      <c r="E398" t="s">
        <v>15</v>
      </c>
      <c r="F398" t="s">
        <v>59</v>
      </c>
      <c r="G398" t="s">
        <v>75</v>
      </c>
      <c r="H398">
        <v>6</v>
      </c>
      <c r="I398">
        <v>650</v>
      </c>
      <c r="J398">
        <v>0.1</v>
      </c>
      <c r="K398" t="s">
        <v>55</v>
      </c>
      <c r="L398" t="s">
        <v>34</v>
      </c>
      <c r="M398" t="s">
        <v>310</v>
      </c>
      <c r="N398">
        <f>SalesTable[[#This Row],[الكمية]]*SalesTable[[#This Row],[سعر الوحدة]]</f>
        <v>3900</v>
      </c>
      <c r="O398">
        <f>SalesTable[[#This Row],[الكمية]]*SalesTable[[#This Row],[سعر الوحدة]]*(1-SalesTable[[#This Row],[الخصم]])</f>
        <v>3510</v>
      </c>
    </row>
    <row r="399" spans="1:15" x14ac:dyDescent="0.3">
      <c r="A399">
        <v>10398</v>
      </c>
      <c r="B399" t="s">
        <v>67</v>
      </c>
      <c r="C399" s="3">
        <v>46358</v>
      </c>
      <c r="D399" t="s">
        <v>48</v>
      </c>
      <c r="E399" t="s">
        <v>30</v>
      </c>
      <c r="F399" t="s">
        <v>64</v>
      </c>
      <c r="G399" t="s">
        <v>107</v>
      </c>
      <c r="H399">
        <v>9</v>
      </c>
      <c r="I399">
        <v>9000</v>
      </c>
      <c r="J399">
        <v>0.03</v>
      </c>
      <c r="K399" t="s">
        <v>18</v>
      </c>
      <c r="L399" t="s">
        <v>26</v>
      </c>
      <c r="M399" t="s">
        <v>291</v>
      </c>
      <c r="N399">
        <f>SalesTable[[#This Row],[الكمية]]*SalesTable[[#This Row],[سعر الوحدة]]</f>
        <v>81000</v>
      </c>
      <c r="O399">
        <f>SalesTable[[#This Row],[الكمية]]*SalesTable[[#This Row],[سعر الوحدة]]*(1-SalesTable[[#This Row],[الخصم]])</f>
        <v>78570</v>
      </c>
    </row>
    <row r="400" spans="1:15" x14ac:dyDescent="0.3">
      <c r="A400">
        <v>10399</v>
      </c>
      <c r="B400" t="s">
        <v>52</v>
      </c>
      <c r="C400" s="3">
        <v>46322</v>
      </c>
      <c r="D400" t="s">
        <v>45</v>
      </c>
      <c r="E400" t="s">
        <v>46</v>
      </c>
      <c r="F400" t="s">
        <v>87</v>
      </c>
      <c r="G400" t="s">
        <v>88</v>
      </c>
      <c r="H400">
        <v>6</v>
      </c>
      <c r="I400">
        <v>1200</v>
      </c>
      <c r="J400">
        <v>0.05</v>
      </c>
      <c r="K400" t="s">
        <v>38</v>
      </c>
      <c r="L400" t="s">
        <v>47</v>
      </c>
      <c r="M400" t="s">
        <v>151</v>
      </c>
      <c r="N400">
        <f>SalesTable[[#This Row],[الكمية]]*SalesTable[[#This Row],[سعر الوحدة]]</f>
        <v>7200</v>
      </c>
      <c r="O400">
        <f>SalesTable[[#This Row],[الكمية]]*SalesTable[[#This Row],[سعر الوحدة]]*(1-SalesTable[[#This Row],[الخصم]])</f>
        <v>6840</v>
      </c>
    </row>
    <row r="401" spans="1:15" x14ac:dyDescent="0.3">
      <c r="A401">
        <v>10400</v>
      </c>
      <c r="B401" t="s">
        <v>21</v>
      </c>
      <c r="C401" s="3">
        <v>46084</v>
      </c>
      <c r="D401" t="s">
        <v>48</v>
      </c>
      <c r="E401" t="s">
        <v>30</v>
      </c>
      <c r="F401" t="s">
        <v>24</v>
      </c>
      <c r="G401" t="s">
        <v>25</v>
      </c>
      <c r="H401">
        <v>8</v>
      </c>
      <c r="I401">
        <v>9000</v>
      </c>
      <c r="J401">
        <v>0.03</v>
      </c>
      <c r="K401" t="s">
        <v>33</v>
      </c>
      <c r="L401" t="s">
        <v>34</v>
      </c>
      <c r="M401" t="s">
        <v>161</v>
      </c>
      <c r="N401">
        <f>SalesTable[[#This Row],[الكمية]]*SalesTable[[#This Row],[سعر الوحدة]]</f>
        <v>72000</v>
      </c>
      <c r="O401">
        <f>SalesTable[[#This Row],[الكمية]]*SalesTable[[#This Row],[سعر الوحدة]]*(1-SalesTable[[#This Row],[الخصم]])</f>
        <v>69840</v>
      </c>
    </row>
    <row r="402" spans="1:15" x14ac:dyDescent="0.3">
      <c r="A402">
        <v>10401</v>
      </c>
      <c r="B402" t="s">
        <v>36</v>
      </c>
      <c r="C402" s="3">
        <v>46314</v>
      </c>
      <c r="D402" t="s">
        <v>22</v>
      </c>
      <c r="E402" t="s">
        <v>23</v>
      </c>
      <c r="F402" t="s">
        <v>64</v>
      </c>
      <c r="G402" t="s">
        <v>184</v>
      </c>
      <c r="H402">
        <v>4</v>
      </c>
      <c r="I402">
        <v>25000</v>
      </c>
      <c r="J402">
        <v>0.05</v>
      </c>
      <c r="K402" t="s">
        <v>33</v>
      </c>
      <c r="L402" t="s">
        <v>26</v>
      </c>
      <c r="M402" t="s">
        <v>261</v>
      </c>
      <c r="N402">
        <f>SalesTable[[#This Row],[الكمية]]*SalesTable[[#This Row],[سعر الوحدة]]</f>
        <v>100000</v>
      </c>
      <c r="O402">
        <f>SalesTable[[#This Row],[الكمية]]*SalesTable[[#This Row],[سعر الوحدة]]*(1-SalesTable[[#This Row],[الخصم]])</f>
        <v>95000</v>
      </c>
    </row>
    <row r="403" spans="1:15" x14ac:dyDescent="0.3">
      <c r="A403">
        <v>10402</v>
      </c>
      <c r="B403" t="s">
        <v>112</v>
      </c>
      <c r="C403" s="3">
        <v>46183</v>
      </c>
      <c r="D403" t="s">
        <v>68</v>
      </c>
      <c r="E403" t="s">
        <v>46</v>
      </c>
      <c r="F403" t="s">
        <v>64</v>
      </c>
      <c r="G403" t="s">
        <v>71</v>
      </c>
      <c r="H403">
        <v>8</v>
      </c>
      <c r="I403">
        <v>1400</v>
      </c>
      <c r="J403">
        <v>0.05</v>
      </c>
      <c r="K403" t="s">
        <v>18</v>
      </c>
      <c r="L403" t="s">
        <v>19</v>
      </c>
      <c r="M403" t="s">
        <v>279</v>
      </c>
      <c r="N403">
        <f>SalesTable[[#This Row],[الكمية]]*SalesTable[[#This Row],[سعر الوحدة]]</f>
        <v>11200</v>
      </c>
      <c r="O403">
        <f>SalesTable[[#This Row],[الكمية]]*SalesTable[[#This Row],[سعر الوحدة]]*(1-SalesTable[[#This Row],[الخصم]])</f>
        <v>10640</v>
      </c>
    </row>
    <row r="404" spans="1:15" x14ac:dyDescent="0.3">
      <c r="A404">
        <v>10403</v>
      </c>
      <c r="B404" t="s">
        <v>62</v>
      </c>
      <c r="C404" s="3">
        <v>46068</v>
      </c>
      <c r="D404" t="s">
        <v>110</v>
      </c>
      <c r="E404" t="s">
        <v>46</v>
      </c>
      <c r="F404" t="s">
        <v>31</v>
      </c>
      <c r="G404" t="s">
        <v>54</v>
      </c>
      <c r="H404">
        <v>10</v>
      </c>
      <c r="I404">
        <v>450</v>
      </c>
      <c r="J404">
        <v>0.03</v>
      </c>
      <c r="K404" t="s">
        <v>55</v>
      </c>
      <c r="L404" t="s">
        <v>47</v>
      </c>
      <c r="M404" t="s">
        <v>135</v>
      </c>
      <c r="N404">
        <f>SalesTable[[#This Row],[الكمية]]*SalesTable[[#This Row],[سعر الوحدة]]</f>
        <v>4500</v>
      </c>
      <c r="O404">
        <f>SalesTable[[#This Row],[الكمية]]*SalesTable[[#This Row],[سعر الوحدة]]*(1-SalesTable[[#This Row],[الخصم]])</f>
        <v>4365</v>
      </c>
    </row>
    <row r="405" spans="1:15" x14ac:dyDescent="0.3">
      <c r="A405">
        <v>10404</v>
      </c>
      <c r="B405" t="s">
        <v>28</v>
      </c>
      <c r="C405" s="3">
        <v>46296</v>
      </c>
      <c r="D405" t="s">
        <v>29</v>
      </c>
      <c r="E405" t="s">
        <v>30</v>
      </c>
      <c r="F405" t="s">
        <v>84</v>
      </c>
      <c r="G405" t="s">
        <v>85</v>
      </c>
      <c r="H405">
        <v>7</v>
      </c>
      <c r="I405">
        <v>7500</v>
      </c>
      <c r="J405">
        <v>0</v>
      </c>
      <c r="K405" t="s">
        <v>55</v>
      </c>
      <c r="L405" t="s">
        <v>34</v>
      </c>
      <c r="M405" t="s">
        <v>241</v>
      </c>
      <c r="N405">
        <f>SalesTable[[#This Row],[الكمية]]*SalesTable[[#This Row],[سعر الوحدة]]</f>
        <v>52500</v>
      </c>
      <c r="O405">
        <f>SalesTable[[#This Row],[الكمية]]*SalesTable[[#This Row],[سعر الوحدة]]*(1-SalesTable[[#This Row],[الخصم]])</f>
        <v>52500</v>
      </c>
    </row>
    <row r="406" spans="1:15" x14ac:dyDescent="0.3">
      <c r="A406">
        <v>10405</v>
      </c>
      <c r="B406" t="s">
        <v>28</v>
      </c>
      <c r="C406" s="3">
        <v>46343</v>
      </c>
      <c r="D406" t="s">
        <v>90</v>
      </c>
      <c r="E406" t="s">
        <v>91</v>
      </c>
      <c r="F406" t="s">
        <v>49</v>
      </c>
      <c r="G406" t="s">
        <v>122</v>
      </c>
      <c r="H406">
        <v>4</v>
      </c>
      <c r="I406">
        <v>6500</v>
      </c>
      <c r="J406">
        <v>0</v>
      </c>
      <c r="K406" t="s">
        <v>55</v>
      </c>
      <c r="L406" t="s">
        <v>26</v>
      </c>
      <c r="M406" t="s">
        <v>174</v>
      </c>
      <c r="N406">
        <f>SalesTable[[#This Row],[الكمية]]*SalesTable[[#This Row],[سعر الوحدة]]</f>
        <v>26000</v>
      </c>
      <c r="O406">
        <f>SalesTable[[#This Row],[الكمية]]*SalesTable[[#This Row],[سعر الوحدة]]*(1-SalesTable[[#This Row],[الخصم]])</f>
        <v>26000</v>
      </c>
    </row>
    <row r="407" spans="1:15" x14ac:dyDescent="0.3">
      <c r="A407">
        <v>10406</v>
      </c>
      <c r="B407" t="s">
        <v>94</v>
      </c>
      <c r="C407" s="3">
        <v>46179</v>
      </c>
      <c r="D407" t="s">
        <v>110</v>
      </c>
      <c r="E407" t="s">
        <v>46</v>
      </c>
      <c r="F407" t="s">
        <v>64</v>
      </c>
      <c r="G407" t="s">
        <v>71</v>
      </c>
      <c r="H407">
        <v>7</v>
      </c>
      <c r="I407">
        <v>450</v>
      </c>
      <c r="J407">
        <v>0.1</v>
      </c>
      <c r="K407" t="s">
        <v>55</v>
      </c>
      <c r="L407" t="s">
        <v>19</v>
      </c>
      <c r="M407" t="s">
        <v>198</v>
      </c>
      <c r="N407">
        <f>SalesTable[[#This Row],[الكمية]]*SalesTable[[#This Row],[سعر الوحدة]]</f>
        <v>3150</v>
      </c>
      <c r="O407">
        <f>SalesTable[[#This Row],[الكمية]]*SalesTable[[#This Row],[سعر الوحدة]]*(1-SalesTable[[#This Row],[الخصم]])</f>
        <v>2835</v>
      </c>
    </row>
    <row r="408" spans="1:15" x14ac:dyDescent="0.3">
      <c r="A408">
        <v>10407</v>
      </c>
      <c r="B408" t="s">
        <v>21</v>
      </c>
      <c r="C408" s="3">
        <v>46195</v>
      </c>
      <c r="D408" t="s">
        <v>110</v>
      </c>
      <c r="E408" t="s">
        <v>46</v>
      </c>
      <c r="F408" t="s">
        <v>87</v>
      </c>
      <c r="G408" t="s">
        <v>88</v>
      </c>
      <c r="H408">
        <v>9</v>
      </c>
      <c r="I408">
        <v>450</v>
      </c>
      <c r="J408">
        <v>0.1</v>
      </c>
      <c r="K408" t="s">
        <v>33</v>
      </c>
      <c r="L408" t="s">
        <v>26</v>
      </c>
      <c r="M408" t="s">
        <v>280</v>
      </c>
      <c r="N408">
        <f>SalesTable[[#This Row],[الكمية]]*SalesTable[[#This Row],[سعر الوحدة]]</f>
        <v>4050</v>
      </c>
      <c r="O408">
        <f>SalesTable[[#This Row],[الكمية]]*SalesTable[[#This Row],[سعر الوحدة]]*(1-SalesTable[[#This Row],[الخصم]])</f>
        <v>3645</v>
      </c>
    </row>
    <row r="409" spans="1:15" x14ac:dyDescent="0.3">
      <c r="A409">
        <v>10408</v>
      </c>
      <c r="B409" t="s">
        <v>36</v>
      </c>
      <c r="C409" s="3">
        <v>46032</v>
      </c>
      <c r="D409" t="s">
        <v>90</v>
      </c>
      <c r="E409" t="s">
        <v>91</v>
      </c>
      <c r="F409" t="s">
        <v>59</v>
      </c>
      <c r="G409" t="s">
        <v>105</v>
      </c>
      <c r="H409">
        <v>4</v>
      </c>
      <c r="I409">
        <v>6500</v>
      </c>
      <c r="J409">
        <v>0.03</v>
      </c>
      <c r="K409" t="s">
        <v>55</v>
      </c>
      <c r="L409" t="s">
        <v>26</v>
      </c>
      <c r="M409" t="s">
        <v>99</v>
      </c>
      <c r="N409">
        <f>SalesTable[[#This Row],[الكمية]]*SalesTable[[#This Row],[سعر الوحدة]]</f>
        <v>26000</v>
      </c>
      <c r="O409">
        <f>SalesTable[[#This Row],[الكمية]]*SalesTable[[#This Row],[سعر الوحدة]]*(1-SalesTable[[#This Row],[الخصم]])</f>
        <v>25220</v>
      </c>
    </row>
    <row r="410" spans="1:15" x14ac:dyDescent="0.3">
      <c r="A410">
        <v>10409</v>
      </c>
      <c r="B410" t="s">
        <v>28</v>
      </c>
      <c r="C410" s="3">
        <v>46215</v>
      </c>
      <c r="D410" t="s">
        <v>45</v>
      </c>
      <c r="E410" t="s">
        <v>46</v>
      </c>
      <c r="F410" t="s">
        <v>24</v>
      </c>
      <c r="G410" t="s">
        <v>73</v>
      </c>
      <c r="H410">
        <v>2</v>
      </c>
      <c r="I410">
        <v>1200</v>
      </c>
      <c r="J410">
        <v>0.05</v>
      </c>
      <c r="K410" t="s">
        <v>38</v>
      </c>
      <c r="L410" t="s">
        <v>19</v>
      </c>
      <c r="M410" t="s">
        <v>311</v>
      </c>
      <c r="N410">
        <f>SalesTable[[#This Row],[الكمية]]*SalesTable[[#This Row],[سعر الوحدة]]</f>
        <v>2400</v>
      </c>
      <c r="O410">
        <f>SalesTable[[#This Row],[الكمية]]*SalesTable[[#This Row],[سعر الوحدة]]*(1-SalesTable[[#This Row],[الخصم]])</f>
        <v>2280</v>
      </c>
    </row>
    <row r="411" spans="1:15" x14ac:dyDescent="0.3">
      <c r="A411">
        <v>10410</v>
      </c>
      <c r="B411" t="s">
        <v>44</v>
      </c>
      <c r="C411" s="3">
        <v>46236</v>
      </c>
      <c r="D411" t="s">
        <v>14</v>
      </c>
      <c r="E411" t="s">
        <v>15</v>
      </c>
      <c r="F411" t="s">
        <v>16</v>
      </c>
      <c r="G411" t="s">
        <v>17</v>
      </c>
      <c r="H411">
        <v>1</v>
      </c>
      <c r="I411">
        <v>650</v>
      </c>
      <c r="J411">
        <v>0.15</v>
      </c>
      <c r="K411" t="s">
        <v>33</v>
      </c>
      <c r="L411" t="s">
        <v>47</v>
      </c>
      <c r="M411" t="s">
        <v>156</v>
      </c>
      <c r="N411">
        <f>SalesTable[[#This Row],[الكمية]]*SalesTable[[#This Row],[سعر الوحدة]]</f>
        <v>650</v>
      </c>
      <c r="O411">
        <f>SalesTable[[#This Row],[الكمية]]*SalesTable[[#This Row],[سعر الوحدة]]*(1-SalesTable[[#This Row],[الخصم]])</f>
        <v>552.5</v>
      </c>
    </row>
    <row r="412" spans="1:15" x14ac:dyDescent="0.3">
      <c r="A412">
        <v>10411</v>
      </c>
      <c r="B412" t="s">
        <v>28</v>
      </c>
      <c r="C412" s="3">
        <v>46177</v>
      </c>
      <c r="D412" t="s">
        <v>53</v>
      </c>
      <c r="E412" t="s">
        <v>15</v>
      </c>
      <c r="F412" t="s">
        <v>87</v>
      </c>
      <c r="G412" t="s">
        <v>88</v>
      </c>
      <c r="H412">
        <v>3</v>
      </c>
      <c r="I412">
        <v>3200</v>
      </c>
      <c r="J412">
        <v>0.03</v>
      </c>
      <c r="K412" t="s">
        <v>33</v>
      </c>
      <c r="L412" t="s">
        <v>19</v>
      </c>
      <c r="M412" t="s">
        <v>312</v>
      </c>
      <c r="N412">
        <f>SalesTable[[#This Row],[الكمية]]*SalesTable[[#This Row],[سعر الوحدة]]</f>
        <v>9600</v>
      </c>
      <c r="O412">
        <f>SalesTable[[#This Row],[الكمية]]*SalesTable[[#This Row],[سعر الوحدة]]*(1-SalesTable[[#This Row],[الخصم]])</f>
        <v>9312</v>
      </c>
    </row>
    <row r="413" spans="1:15" x14ac:dyDescent="0.3">
      <c r="A413">
        <v>10412</v>
      </c>
      <c r="B413" t="s">
        <v>94</v>
      </c>
      <c r="C413" s="3">
        <v>46083</v>
      </c>
      <c r="D413" t="s">
        <v>110</v>
      </c>
      <c r="E413" t="s">
        <v>46</v>
      </c>
      <c r="F413" t="s">
        <v>64</v>
      </c>
      <c r="G413" t="s">
        <v>65</v>
      </c>
      <c r="H413">
        <v>2</v>
      </c>
      <c r="I413">
        <v>450</v>
      </c>
      <c r="J413">
        <v>0.1</v>
      </c>
      <c r="K413" t="s">
        <v>38</v>
      </c>
      <c r="L413" t="s">
        <v>19</v>
      </c>
      <c r="M413" t="s">
        <v>313</v>
      </c>
      <c r="N413">
        <f>SalesTable[[#This Row],[الكمية]]*SalesTable[[#This Row],[سعر الوحدة]]</f>
        <v>900</v>
      </c>
      <c r="O413">
        <f>SalesTable[[#This Row],[الكمية]]*SalesTable[[#This Row],[سعر الوحدة]]*(1-SalesTable[[#This Row],[الخصم]])</f>
        <v>810</v>
      </c>
    </row>
    <row r="414" spans="1:15" x14ac:dyDescent="0.3">
      <c r="A414">
        <v>10413</v>
      </c>
      <c r="B414" t="s">
        <v>21</v>
      </c>
      <c r="C414" s="3">
        <v>46126</v>
      </c>
      <c r="D414" t="s">
        <v>48</v>
      </c>
      <c r="E414" t="s">
        <v>30</v>
      </c>
      <c r="F414" t="s">
        <v>31</v>
      </c>
      <c r="G414" t="s">
        <v>77</v>
      </c>
      <c r="H414">
        <v>4</v>
      </c>
      <c r="I414">
        <v>9000</v>
      </c>
      <c r="J414">
        <v>0.05</v>
      </c>
      <c r="K414" t="s">
        <v>38</v>
      </c>
      <c r="L414" t="s">
        <v>47</v>
      </c>
      <c r="M414" t="s">
        <v>148</v>
      </c>
      <c r="N414">
        <f>SalesTable[[#This Row],[الكمية]]*SalesTable[[#This Row],[سعر الوحدة]]</f>
        <v>36000</v>
      </c>
      <c r="O414">
        <f>SalesTable[[#This Row],[الكمية]]*SalesTable[[#This Row],[سعر الوحدة]]*(1-SalesTable[[#This Row],[الخصم]])</f>
        <v>34200</v>
      </c>
    </row>
    <row r="415" spans="1:15" x14ac:dyDescent="0.3">
      <c r="A415">
        <v>10414</v>
      </c>
      <c r="B415" t="s">
        <v>62</v>
      </c>
      <c r="C415" s="3">
        <v>46192</v>
      </c>
      <c r="D415" t="s">
        <v>37</v>
      </c>
      <c r="E415" t="s">
        <v>23</v>
      </c>
      <c r="F415" t="s">
        <v>24</v>
      </c>
      <c r="G415" t="s">
        <v>42</v>
      </c>
      <c r="H415">
        <v>4</v>
      </c>
      <c r="I415">
        <v>32000</v>
      </c>
      <c r="J415">
        <v>0.15</v>
      </c>
      <c r="K415" t="s">
        <v>55</v>
      </c>
      <c r="L415" t="s">
        <v>19</v>
      </c>
      <c r="M415" t="s">
        <v>265</v>
      </c>
      <c r="N415">
        <f>SalesTable[[#This Row],[الكمية]]*SalesTable[[#This Row],[سعر الوحدة]]</f>
        <v>128000</v>
      </c>
      <c r="O415">
        <f>SalesTable[[#This Row],[الكمية]]*SalesTable[[#This Row],[سعر الوحدة]]*(1-SalesTable[[#This Row],[الخصم]])</f>
        <v>108800</v>
      </c>
    </row>
    <row r="416" spans="1:15" x14ac:dyDescent="0.3">
      <c r="A416">
        <v>10415</v>
      </c>
      <c r="B416" t="s">
        <v>62</v>
      </c>
      <c r="C416" s="3">
        <v>46099</v>
      </c>
      <c r="D416" t="s">
        <v>14</v>
      </c>
      <c r="E416" t="s">
        <v>15</v>
      </c>
      <c r="F416" t="s">
        <v>16</v>
      </c>
      <c r="G416" t="s">
        <v>17</v>
      </c>
      <c r="H416">
        <v>10</v>
      </c>
      <c r="I416">
        <v>650</v>
      </c>
      <c r="J416">
        <v>0.15</v>
      </c>
      <c r="K416" t="s">
        <v>18</v>
      </c>
      <c r="L416" t="s">
        <v>19</v>
      </c>
      <c r="M416" t="s">
        <v>240</v>
      </c>
      <c r="N416">
        <f>SalesTable[[#This Row],[الكمية]]*SalesTable[[#This Row],[سعر الوحدة]]</f>
        <v>6500</v>
      </c>
      <c r="O416">
        <f>SalesTable[[#This Row],[الكمية]]*SalesTable[[#This Row],[سعر الوحدة]]*(1-SalesTable[[#This Row],[الخصم]])</f>
        <v>5525</v>
      </c>
    </row>
    <row r="417" spans="1:15" x14ac:dyDescent="0.3">
      <c r="A417">
        <v>10416</v>
      </c>
      <c r="B417" t="s">
        <v>52</v>
      </c>
      <c r="C417" s="3">
        <v>46158</v>
      </c>
      <c r="D417" t="s">
        <v>90</v>
      </c>
      <c r="E417" t="s">
        <v>91</v>
      </c>
      <c r="F417" t="s">
        <v>87</v>
      </c>
      <c r="G417" t="s">
        <v>103</v>
      </c>
      <c r="H417">
        <v>4</v>
      </c>
      <c r="I417">
        <v>6500</v>
      </c>
      <c r="J417">
        <v>7.0000000000000007E-2</v>
      </c>
      <c r="K417" t="s">
        <v>33</v>
      </c>
      <c r="L417" t="s">
        <v>19</v>
      </c>
      <c r="M417" t="s">
        <v>240</v>
      </c>
      <c r="N417">
        <f>SalesTable[[#This Row],[الكمية]]*SalesTable[[#This Row],[سعر الوحدة]]</f>
        <v>26000</v>
      </c>
      <c r="O417">
        <f>SalesTable[[#This Row],[الكمية]]*SalesTable[[#This Row],[سعر الوحدة]]*(1-SalesTable[[#This Row],[الخصم]])</f>
        <v>24180</v>
      </c>
    </row>
    <row r="418" spans="1:15" x14ac:dyDescent="0.3">
      <c r="A418">
        <v>10417</v>
      </c>
      <c r="B418" t="s">
        <v>67</v>
      </c>
      <c r="C418" s="3">
        <v>46241</v>
      </c>
      <c r="D418" t="s">
        <v>68</v>
      </c>
      <c r="E418" t="s">
        <v>46</v>
      </c>
      <c r="F418" t="s">
        <v>64</v>
      </c>
      <c r="G418" t="s">
        <v>71</v>
      </c>
      <c r="H418">
        <v>5</v>
      </c>
      <c r="I418">
        <v>1400</v>
      </c>
      <c r="J418">
        <v>0.05</v>
      </c>
      <c r="K418" t="s">
        <v>18</v>
      </c>
      <c r="L418" t="s">
        <v>19</v>
      </c>
      <c r="M418" t="s">
        <v>198</v>
      </c>
      <c r="N418">
        <f>SalesTable[[#This Row],[الكمية]]*SalesTable[[#This Row],[سعر الوحدة]]</f>
        <v>7000</v>
      </c>
      <c r="O418">
        <f>SalesTable[[#This Row],[الكمية]]*SalesTable[[#This Row],[سعر الوحدة]]*(1-SalesTable[[#This Row],[الخصم]])</f>
        <v>6650</v>
      </c>
    </row>
    <row r="419" spans="1:15" x14ac:dyDescent="0.3">
      <c r="A419">
        <v>10418</v>
      </c>
      <c r="B419" t="s">
        <v>62</v>
      </c>
      <c r="C419" s="3">
        <v>46341</v>
      </c>
      <c r="D419" t="s">
        <v>22</v>
      </c>
      <c r="E419" t="s">
        <v>23</v>
      </c>
      <c r="F419" t="s">
        <v>64</v>
      </c>
      <c r="G419" t="s">
        <v>184</v>
      </c>
      <c r="H419">
        <v>6</v>
      </c>
      <c r="I419">
        <v>25000</v>
      </c>
      <c r="J419">
        <v>0.05</v>
      </c>
      <c r="K419" t="s">
        <v>38</v>
      </c>
      <c r="L419" t="s">
        <v>19</v>
      </c>
      <c r="M419" t="s">
        <v>304</v>
      </c>
      <c r="N419">
        <f>SalesTable[[#This Row],[الكمية]]*SalesTable[[#This Row],[سعر الوحدة]]</f>
        <v>150000</v>
      </c>
      <c r="O419">
        <f>SalesTable[[#This Row],[الكمية]]*SalesTable[[#This Row],[سعر الوحدة]]*(1-SalesTable[[#This Row],[الخصم]])</f>
        <v>142500</v>
      </c>
    </row>
    <row r="420" spans="1:15" x14ac:dyDescent="0.3">
      <c r="A420">
        <v>10419</v>
      </c>
      <c r="B420" t="s">
        <v>36</v>
      </c>
      <c r="C420" s="3">
        <v>46256</v>
      </c>
      <c r="D420" t="s">
        <v>68</v>
      </c>
      <c r="E420" t="s">
        <v>46</v>
      </c>
      <c r="F420" t="s">
        <v>49</v>
      </c>
      <c r="G420" t="s">
        <v>50</v>
      </c>
      <c r="H420">
        <v>2</v>
      </c>
      <c r="I420">
        <v>1400</v>
      </c>
      <c r="J420">
        <v>7.0000000000000007E-2</v>
      </c>
      <c r="K420" t="s">
        <v>38</v>
      </c>
      <c r="L420" t="s">
        <v>47</v>
      </c>
      <c r="M420" t="s">
        <v>132</v>
      </c>
      <c r="N420">
        <f>SalesTable[[#This Row],[الكمية]]*SalesTable[[#This Row],[سعر الوحدة]]</f>
        <v>2800</v>
      </c>
      <c r="O420">
        <f>SalesTable[[#This Row],[الكمية]]*SalesTable[[#This Row],[سعر الوحدة]]*(1-SalesTable[[#This Row],[الخصم]])</f>
        <v>2604</v>
      </c>
    </row>
    <row r="421" spans="1:15" x14ac:dyDescent="0.3">
      <c r="A421">
        <v>10420</v>
      </c>
      <c r="B421" t="s">
        <v>112</v>
      </c>
      <c r="C421" s="3">
        <v>46379</v>
      </c>
      <c r="D421" t="s">
        <v>40</v>
      </c>
      <c r="E421" t="s">
        <v>41</v>
      </c>
      <c r="F421" t="s">
        <v>84</v>
      </c>
      <c r="G421" t="s">
        <v>113</v>
      </c>
      <c r="H421">
        <v>3</v>
      </c>
      <c r="I421">
        <v>150</v>
      </c>
      <c r="J421">
        <v>0</v>
      </c>
      <c r="K421" t="s">
        <v>18</v>
      </c>
      <c r="L421" t="s">
        <v>26</v>
      </c>
      <c r="M421" t="s">
        <v>285</v>
      </c>
      <c r="N421">
        <f>SalesTable[[#This Row],[الكمية]]*SalesTable[[#This Row],[سعر الوحدة]]</f>
        <v>450</v>
      </c>
      <c r="O421">
        <f>SalesTable[[#This Row],[الكمية]]*SalesTable[[#This Row],[سعر الوحدة]]*(1-SalesTable[[#This Row],[الخصم]])</f>
        <v>450</v>
      </c>
    </row>
    <row r="422" spans="1:15" x14ac:dyDescent="0.3">
      <c r="A422">
        <v>10421</v>
      </c>
      <c r="B422" t="s">
        <v>94</v>
      </c>
      <c r="C422" s="3">
        <v>46217</v>
      </c>
      <c r="D422" t="s">
        <v>29</v>
      </c>
      <c r="E422" t="s">
        <v>30</v>
      </c>
      <c r="F422" t="s">
        <v>59</v>
      </c>
      <c r="G422" t="s">
        <v>75</v>
      </c>
      <c r="H422">
        <v>8</v>
      </c>
      <c r="I422">
        <v>7500</v>
      </c>
      <c r="J422">
        <v>0.03</v>
      </c>
      <c r="K422" t="s">
        <v>38</v>
      </c>
      <c r="L422" t="s">
        <v>19</v>
      </c>
      <c r="M422" t="s">
        <v>314</v>
      </c>
      <c r="N422">
        <f>SalesTable[[#This Row],[الكمية]]*SalesTable[[#This Row],[سعر الوحدة]]</f>
        <v>60000</v>
      </c>
      <c r="O422">
        <f>SalesTable[[#This Row],[الكمية]]*SalesTable[[#This Row],[سعر الوحدة]]*(1-SalesTable[[#This Row],[الخصم]])</f>
        <v>58200</v>
      </c>
    </row>
    <row r="423" spans="1:15" x14ac:dyDescent="0.3">
      <c r="A423">
        <v>10422</v>
      </c>
      <c r="B423" t="s">
        <v>28</v>
      </c>
      <c r="C423" s="3">
        <v>46055</v>
      </c>
      <c r="D423" t="s">
        <v>48</v>
      </c>
      <c r="E423" t="s">
        <v>30</v>
      </c>
      <c r="F423" t="s">
        <v>59</v>
      </c>
      <c r="G423" t="s">
        <v>60</v>
      </c>
      <c r="H423">
        <v>7</v>
      </c>
      <c r="I423">
        <v>9000</v>
      </c>
      <c r="J423">
        <v>7.0000000000000007E-2</v>
      </c>
      <c r="K423" t="s">
        <v>38</v>
      </c>
      <c r="L423" t="s">
        <v>34</v>
      </c>
      <c r="M423" t="s">
        <v>265</v>
      </c>
      <c r="N423">
        <f>SalesTable[[#This Row],[الكمية]]*SalesTable[[#This Row],[سعر الوحدة]]</f>
        <v>63000</v>
      </c>
      <c r="O423">
        <f>SalesTable[[#This Row],[الكمية]]*SalesTable[[#This Row],[سعر الوحدة]]*(1-SalesTable[[#This Row],[الخصم]])</f>
        <v>58589.999999999993</v>
      </c>
    </row>
    <row r="424" spans="1:15" x14ac:dyDescent="0.3">
      <c r="A424">
        <v>10423</v>
      </c>
      <c r="B424" t="s">
        <v>21</v>
      </c>
      <c r="C424" s="3">
        <v>46375</v>
      </c>
      <c r="D424" t="s">
        <v>81</v>
      </c>
      <c r="E424" t="s">
        <v>41</v>
      </c>
      <c r="F424" t="s">
        <v>31</v>
      </c>
      <c r="G424" t="s">
        <v>77</v>
      </c>
      <c r="H424">
        <v>6</v>
      </c>
      <c r="I424">
        <v>2200</v>
      </c>
      <c r="J424">
        <v>0.1</v>
      </c>
      <c r="K424" t="s">
        <v>18</v>
      </c>
      <c r="L424" t="s">
        <v>47</v>
      </c>
      <c r="M424" t="s">
        <v>288</v>
      </c>
      <c r="N424">
        <f>SalesTable[[#This Row],[الكمية]]*SalesTable[[#This Row],[سعر الوحدة]]</f>
        <v>13200</v>
      </c>
      <c r="O424">
        <f>SalesTable[[#This Row],[الكمية]]*SalesTable[[#This Row],[سعر الوحدة]]*(1-SalesTable[[#This Row],[الخصم]])</f>
        <v>11880</v>
      </c>
    </row>
    <row r="425" spans="1:15" x14ac:dyDescent="0.3">
      <c r="A425">
        <v>10424</v>
      </c>
      <c r="B425" t="s">
        <v>21</v>
      </c>
      <c r="C425" s="3">
        <v>46336</v>
      </c>
      <c r="D425" t="s">
        <v>48</v>
      </c>
      <c r="E425" t="s">
        <v>30</v>
      </c>
      <c r="F425" t="s">
        <v>49</v>
      </c>
      <c r="G425" t="s">
        <v>122</v>
      </c>
      <c r="H425">
        <v>7</v>
      </c>
      <c r="I425">
        <v>9000</v>
      </c>
      <c r="J425">
        <v>0.03</v>
      </c>
      <c r="K425" t="s">
        <v>18</v>
      </c>
      <c r="L425" t="s">
        <v>19</v>
      </c>
      <c r="M425" t="s">
        <v>69</v>
      </c>
      <c r="N425">
        <f>SalesTable[[#This Row],[الكمية]]*SalesTable[[#This Row],[سعر الوحدة]]</f>
        <v>63000</v>
      </c>
      <c r="O425">
        <f>SalesTable[[#This Row],[الكمية]]*SalesTable[[#This Row],[سعر الوحدة]]*(1-SalesTable[[#This Row],[الخصم]])</f>
        <v>61110</v>
      </c>
    </row>
    <row r="426" spans="1:15" x14ac:dyDescent="0.3">
      <c r="A426">
        <v>10425</v>
      </c>
      <c r="B426" t="s">
        <v>62</v>
      </c>
      <c r="C426" s="3">
        <v>46187</v>
      </c>
      <c r="D426" t="s">
        <v>53</v>
      </c>
      <c r="E426" t="s">
        <v>15</v>
      </c>
      <c r="F426" t="s">
        <v>59</v>
      </c>
      <c r="G426" t="s">
        <v>105</v>
      </c>
      <c r="H426">
        <v>3</v>
      </c>
      <c r="I426">
        <v>3200</v>
      </c>
      <c r="J426">
        <v>0</v>
      </c>
      <c r="K426" t="s">
        <v>55</v>
      </c>
      <c r="L426" t="s">
        <v>34</v>
      </c>
      <c r="M426" t="s">
        <v>35</v>
      </c>
      <c r="N426">
        <f>SalesTable[[#This Row],[الكمية]]*SalesTable[[#This Row],[سعر الوحدة]]</f>
        <v>9600</v>
      </c>
      <c r="O426">
        <f>SalesTable[[#This Row],[الكمية]]*SalesTable[[#This Row],[سعر الوحدة]]*(1-SalesTable[[#This Row],[الخصم]])</f>
        <v>9600</v>
      </c>
    </row>
    <row r="427" spans="1:15" x14ac:dyDescent="0.3">
      <c r="A427">
        <v>10426</v>
      </c>
      <c r="B427" t="s">
        <v>13</v>
      </c>
      <c r="C427" s="3">
        <v>46063</v>
      </c>
      <c r="D427" t="s">
        <v>22</v>
      </c>
      <c r="E427" t="s">
        <v>23</v>
      </c>
      <c r="F427" t="s">
        <v>31</v>
      </c>
      <c r="G427" t="s">
        <v>77</v>
      </c>
      <c r="H427">
        <v>7</v>
      </c>
      <c r="I427">
        <v>25000</v>
      </c>
      <c r="J427">
        <v>7.0000000000000007E-2</v>
      </c>
      <c r="K427" t="s">
        <v>33</v>
      </c>
      <c r="L427" t="s">
        <v>47</v>
      </c>
      <c r="M427" t="s">
        <v>244</v>
      </c>
      <c r="N427">
        <f>SalesTable[[#This Row],[الكمية]]*SalesTable[[#This Row],[سعر الوحدة]]</f>
        <v>175000</v>
      </c>
      <c r="O427">
        <f>SalesTable[[#This Row],[الكمية]]*SalesTable[[#This Row],[سعر الوحدة]]*(1-SalesTable[[#This Row],[الخصم]])</f>
        <v>162750</v>
      </c>
    </row>
    <row r="428" spans="1:15" x14ac:dyDescent="0.3">
      <c r="A428">
        <v>10427</v>
      </c>
      <c r="B428" t="s">
        <v>44</v>
      </c>
      <c r="C428" s="3">
        <v>46277</v>
      </c>
      <c r="D428" t="s">
        <v>48</v>
      </c>
      <c r="E428" t="s">
        <v>30</v>
      </c>
      <c r="F428" t="s">
        <v>16</v>
      </c>
      <c r="G428" t="s">
        <v>189</v>
      </c>
      <c r="H428">
        <v>8</v>
      </c>
      <c r="I428">
        <v>9000</v>
      </c>
      <c r="J428">
        <v>0.05</v>
      </c>
      <c r="K428" t="s">
        <v>18</v>
      </c>
      <c r="L428" t="s">
        <v>19</v>
      </c>
      <c r="M428" t="s">
        <v>86</v>
      </c>
      <c r="N428">
        <f>SalesTable[[#This Row],[الكمية]]*SalesTable[[#This Row],[سعر الوحدة]]</f>
        <v>72000</v>
      </c>
      <c r="O428">
        <f>SalesTable[[#This Row],[الكمية]]*SalesTable[[#This Row],[سعر الوحدة]]*(1-SalesTable[[#This Row],[الخصم]])</f>
        <v>68400</v>
      </c>
    </row>
    <row r="429" spans="1:15" x14ac:dyDescent="0.3">
      <c r="A429">
        <v>10428</v>
      </c>
      <c r="B429" t="s">
        <v>94</v>
      </c>
      <c r="C429" s="3">
        <v>46349</v>
      </c>
      <c r="D429" t="s">
        <v>29</v>
      </c>
      <c r="E429" t="s">
        <v>30</v>
      </c>
      <c r="F429" t="s">
        <v>24</v>
      </c>
      <c r="G429" t="s">
        <v>25</v>
      </c>
      <c r="H429">
        <v>2</v>
      </c>
      <c r="I429">
        <v>7500</v>
      </c>
      <c r="J429">
        <v>0.1</v>
      </c>
      <c r="K429" t="s">
        <v>38</v>
      </c>
      <c r="L429" t="s">
        <v>26</v>
      </c>
      <c r="M429" t="s">
        <v>273</v>
      </c>
      <c r="N429">
        <f>SalesTable[[#This Row],[الكمية]]*SalesTable[[#This Row],[سعر الوحدة]]</f>
        <v>15000</v>
      </c>
      <c r="O429">
        <f>SalesTable[[#This Row],[الكمية]]*SalesTable[[#This Row],[سعر الوحدة]]*(1-SalesTable[[#This Row],[الخصم]])</f>
        <v>13500</v>
      </c>
    </row>
    <row r="430" spans="1:15" x14ac:dyDescent="0.3">
      <c r="A430">
        <v>10429</v>
      </c>
      <c r="B430" t="s">
        <v>67</v>
      </c>
      <c r="C430" s="3">
        <v>46309</v>
      </c>
      <c r="D430" t="s">
        <v>70</v>
      </c>
      <c r="E430" t="s">
        <v>46</v>
      </c>
      <c r="F430" t="s">
        <v>49</v>
      </c>
      <c r="G430" t="s">
        <v>50</v>
      </c>
      <c r="H430">
        <v>4</v>
      </c>
      <c r="I430">
        <v>1800</v>
      </c>
      <c r="J430">
        <v>7.0000000000000007E-2</v>
      </c>
      <c r="K430" t="s">
        <v>33</v>
      </c>
      <c r="L430" t="s">
        <v>34</v>
      </c>
      <c r="M430" t="s">
        <v>279</v>
      </c>
      <c r="N430">
        <f>SalesTable[[#This Row],[الكمية]]*SalesTable[[#This Row],[سعر الوحدة]]</f>
        <v>7200</v>
      </c>
      <c r="O430">
        <f>SalesTable[[#This Row],[الكمية]]*SalesTable[[#This Row],[سعر الوحدة]]*(1-SalesTable[[#This Row],[الخصم]])</f>
        <v>6696</v>
      </c>
    </row>
    <row r="431" spans="1:15" x14ac:dyDescent="0.3">
      <c r="A431">
        <v>10430</v>
      </c>
      <c r="B431" t="s">
        <v>67</v>
      </c>
      <c r="C431" s="3">
        <v>46347</v>
      </c>
      <c r="D431" t="s">
        <v>104</v>
      </c>
      <c r="E431" t="s">
        <v>23</v>
      </c>
      <c r="F431" t="s">
        <v>16</v>
      </c>
      <c r="G431" t="s">
        <v>96</v>
      </c>
      <c r="H431">
        <v>1</v>
      </c>
      <c r="I431">
        <v>28000</v>
      </c>
      <c r="J431">
        <v>0.05</v>
      </c>
      <c r="K431" t="s">
        <v>38</v>
      </c>
      <c r="L431" t="s">
        <v>34</v>
      </c>
      <c r="M431" t="s">
        <v>313</v>
      </c>
      <c r="N431">
        <f>SalesTable[[#This Row],[الكمية]]*SalesTable[[#This Row],[سعر الوحدة]]</f>
        <v>28000</v>
      </c>
      <c r="O431">
        <f>SalesTable[[#This Row],[الكمية]]*SalesTable[[#This Row],[سعر الوحدة]]*(1-SalesTable[[#This Row],[الخصم]])</f>
        <v>26600</v>
      </c>
    </row>
    <row r="432" spans="1:15" x14ac:dyDescent="0.3">
      <c r="A432">
        <v>10431</v>
      </c>
      <c r="B432" t="s">
        <v>36</v>
      </c>
      <c r="C432" s="3">
        <v>46077</v>
      </c>
      <c r="D432" t="s">
        <v>22</v>
      </c>
      <c r="E432" t="s">
        <v>23</v>
      </c>
      <c r="F432" t="s">
        <v>64</v>
      </c>
      <c r="G432" t="s">
        <v>65</v>
      </c>
      <c r="H432">
        <v>3</v>
      </c>
      <c r="I432">
        <v>25000</v>
      </c>
      <c r="J432">
        <v>0.15</v>
      </c>
      <c r="K432" t="s">
        <v>38</v>
      </c>
      <c r="L432" t="s">
        <v>26</v>
      </c>
      <c r="M432" t="s">
        <v>167</v>
      </c>
      <c r="N432">
        <f>SalesTable[[#This Row],[الكمية]]*SalesTable[[#This Row],[سعر الوحدة]]</f>
        <v>75000</v>
      </c>
      <c r="O432">
        <f>SalesTable[[#This Row],[الكمية]]*SalesTable[[#This Row],[سعر الوحدة]]*(1-SalesTable[[#This Row],[الخصم]])</f>
        <v>63750</v>
      </c>
    </row>
    <row r="433" spans="1:15" x14ac:dyDescent="0.3">
      <c r="A433">
        <v>10432</v>
      </c>
      <c r="B433" t="s">
        <v>67</v>
      </c>
      <c r="C433" s="3">
        <v>46078</v>
      </c>
      <c r="D433" t="s">
        <v>104</v>
      </c>
      <c r="E433" t="s">
        <v>23</v>
      </c>
      <c r="F433" t="s">
        <v>84</v>
      </c>
      <c r="G433" t="s">
        <v>120</v>
      </c>
      <c r="H433">
        <v>8</v>
      </c>
      <c r="I433">
        <v>28000</v>
      </c>
      <c r="J433">
        <v>0.03</v>
      </c>
      <c r="K433" t="s">
        <v>33</v>
      </c>
      <c r="L433" t="s">
        <v>19</v>
      </c>
      <c r="M433" t="s">
        <v>156</v>
      </c>
      <c r="N433">
        <f>SalesTable[[#This Row],[الكمية]]*SalesTable[[#This Row],[سعر الوحدة]]</f>
        <v>224000</v>
      </c>
      <c r="O433">
        <f>SalesTable[[#This Row],[الكمية]]*SalesTable[[#This Row],[سعر الوحدة]]*(1-SalesTable[[#This Row],[الخصم]])</f>
        <v>217280</v>
      </c>
    </row>
    <row r="434" spans="1:15" x14ac:dyDescent="0.3">
      <c r="A434">
        <v>10433</v>
      </c>
      <c r="B434" t="s">
        <v>112</v>
      </c>
      <c r="C434" s="3">
        <v>46278</v>
      </c>
      <c r="D434" t="s">
        <v>40</v>
      </c>
      <c r="E434" t="s">
        <v>41</v>
      </c>
      <c r="F434" t="s">
        <v>59</v>
      </c>
      <c r="G434" t="s">
        <v>105</v>
      </c>
      <c r="H434">
        <v>10</v>
      </c>
      <c r="I434">
        <v>150</v>
      </c>
      <c r="J434">
        <v>0.1</v>
      </c>
      <c r="K434" t="s">
        <v>18</v>
      </c>
      <c r="L434" t="s">
        <v>19</v>
      </c>
      <c r="M434" t="s">
        <v>66</v>
      </c>
      <c r="N434">
        <f>SalesTable[[#This Row],[الكمية]]*SalesTable[[#This Row],[سعر الوحدة]]</f>
        <v>1500</v>
      </c>
      <c r="O434">
        <f>SalesTable[[#This Row],[الكمية]]*SalesTable[[#This Row],[سعر الوحدة]]*(1-SalesTable[[#This Row],[الخصم]])</f>
        <v>1350</v>
      </c>
    </row>
    <row r="435" spans="1:15" x14ac:dyDescent="0.3">
      <c r="A435">
        <v>10434</v>
      </c>
      <c r="B435" t="s">
        <v>112</v>
      </c>
      <c r="C435" s="3">
        <v>46377</v>
      </c>
      <c r="D435" t="s">
        <v>90</v>
      </c>
      <c r="E435" t="s">
        <v>91</v>
      </c>
      <c r="F435" t="s">
        <v>84</v>
      </c>
      <c r="G435" t="s">
        <v>113</v>
      </c>
      <c r="H435">
        <v>8</v>
      </c>
      <c r="I435">
        <v>6500</v>
      </c>
      <c r="J435">
        <v>0.1</v>
      </c>
      <c r="K435" t="s">
        <v>55</v>
      </c>
      <c r="L435" t="s">
        <v>26</v>
      </c>
      <c r="M435" t="s">
        <v>285</v>
      </c>
      <c r="N435">
        <f>SalesTable[[#This Row],[الكمية]]*SalesTable[[#This Row],[سعر الوحدة]]</f>
        <v>52000</v>
      </c>
      <c r="O435">
        <f>SalesTable[[#This Row],[الكمية]]*SalesTable[[#This Row],[سعر الوحدة]]*(1-SalesTable[[#This Row],[الخصم]])</f>
        <v>46800</v>
      </c>
    </row>
    <row r="436" spans="1:15" x14ac:dyDescent="0.3">
      <c r="A436">
        <v>10435</v>
      </c>
      <c r="B436" t="s">
        <v>94</v>
      </c>
      <c r="C436" s="3">
        <v>46377</v>
      </c>
      <c r="D436" t="s">
        <v>29</v>
      </c>
      <c r="E436" t="s">
        <v>30</v>
      </c>
      <c r="F436" t="s">
        <v>49</v>
      </c>
      <c r="G436" t="s">
        <v>122</v>
      </c>
      <c r="H436">
        <v>7</v>
      </c>
      <c r="I436">
        <v>7500</v>
      </c>
      <c r="J436">
        <v>7.0000000000000007E-2</v>
      </c>
      <c r="K436" t="s">
        <v>55</v>
      </c>
      <c r="L436" t="s">
        <v>34</v>
      </c>
      <c r="M436" t="s">
        <v>181</v>
      </c>
      <c r="N436">
        <f>SalesTable[[#This Row],[الكمية]]*SalesTable[[#This Row],[سعر الوحدة]]</f>
        <v>52500</v>
      </c>
      <c r="O436">
        <f>SalesTable[[#This Row],[الكمية]]*SalesTable[[#This Row],[سعر الوحدة]]*(1-SalesTable[[#This Row],[الخصم]])</f>
        <v>48825</v>
      </c>
    </row>
    <row r="437" spans="1:15" x14ac:dyDescent="0.3">
      <c r="A437">
        <v>10436</v>
      </c>
      <c r="B437" t="s">
        <v>36</v>
      </c>
      <c r="C437" s="3">
        <v>46331</v>
      </c>
      <c r="D437" t="s">
        <v>70</v>
      </c>
      <c r="E437" t="s">
        <v>46</v>
      </c>
      <c r="F437" t="s">
        <v>87</v>
      </c>
      <c r="G437" t="s">
        <v>88</v>
      </c>
      <c r="H437">
        <v>3</v>
      </c>
      <c r="I437">
        <v>1800</v>
      </c>
      <c r="J437">
        <v>0.03</v>
      </c>
      <c r="K437" t="s">
        <v>38</v>
      </c>
      <c r="L437" t="s">
        <v>34</v>
      </c>
      <c r="M437" t="s">
        <v>66</v>
      </c>
      <c r="N437">
        <f>SalesTable[[#This Row],[الكمية]]*SalesTable[[#This Row],[سعر الوحدة]]</f>
        <v>5400</v>
      </c>
      <c r="O437">
        <f>SalesTable[[#This Row],[الكمية]]*SalesTable[[#This Row],[سعر الوحدة]]*(1-SalesTable[[#This Row],[الخصم]])</f>
        <v>5238</v>
      </c>
    </row>
    <row r="438" spans="1:15" x14ac:dyDescent="0.3">
      <c r="A438">
        <v>10437</v>
      </c>
      <c r="B438" t="s">
        <v>52</v>
      </c>
      <c r="C438" s="3">
        <v>46374</v>
      </c>
      <c r="D438" t="s">
        <v>14</v>
      </c>
      <c r="E438" t="s">
        <v>15</v>
      </c>
      <c r="F438" t="s">
        <v>31</v>
      </c>
      <c r="G438" t="s">
        <v>54</v>
      </c>
      <c r="H438">
        <v>4</v>
      </c>
      <c r="I438">
        <v>650</v>
      </c>
      <c r="J438">
        <v>0.1</v>
      </c>
      <c r="K438" t="s">
        <v>38</v>
      </c>
      <c r="L438" t="s">
        <v>26</v>
      </c>
      <c r="M438" t="s">
        <v>114</v>
      </c>
      <c r="N438">
        <f>SalesTable[[#This Row],[الكمية]]*SalesTable[[#This Row],[سعر الوحدة]]</f>
        <v>2600</v>
      </c>
      <c r="O438">
        <f>SalesTable[[#This Row],[الكمية]]*SalesTable[[#This Row],[سعر الوحدة]]*(1-SalesTable[[#This Row],[الخصم]])</f>
        <v>2340</v>
      </c>
    </row>
    <row r="439" spans="1:15" x14ac:dyDescent="0.3">
      <c r="A439">
        <v>10438</v>
      </c>
      <c r="B439" t="s">
        <v>21</v>
      </c>
      <c r="C439" s="3">
        <v>46268</v>
      </c>
      <c r="D439" t="s">
        <v>53</v>
      </c>
      <c r="E439" t="s">
        <v>15</v>
      </c>
      <c r="F439" t="s">
        <v>49</v>
      </c>
      <c r="G439" t="s">
        <v>122</v>
      </c>
      <c r="H439">
        <v>2</v>
      </c>
      <c r="I439">
        <v>3200</v>
      </c>
      <c r="J439">
        <v>0.05</v>
      </c>
      <c r="K439" t="s">
        <v>33</v>
      </c>
      <c r="L439" t="s">
        <v>34</v>
      </c>
      <c r="M439" t="s">
        <v>20</v>
      </c>
      <c r="N439">
        <f>SalesTable[[#This Row],[الكمية]]*SalesTable[[#This Row],[سعر الوحدة]]</f>
        <v>6400</v>
      </c>
      <c r="O439">
        <f>SalesTable[[#This Row],[الكمية]]*SalesTable[[#This Row],[سعر الوحدة]]*(1-SalesTable[[#This Row],[الخصم]])</f>
        <v>6080</v>
      </c>
    </row>
    <row r="440" spans="1:15" x14ac:dyDescent="0.3">
      <c r="A440">
        <v>10439</v>
      </c>
      <c r="B440" t="s">
        <v>112</v>
      </c>
      <c r="C440" s="3">
        <v>46050</v>
      </c>
      <c r="D440" t="s">
        <v>40</v>
      </c>
      <c r="E440" t="s">
        <v>41</v>
      </c>
      <c r="F440" t="s">
        <v>24</v>
      </c>
      <c r="G440" t="s">
        <v>25</v>
      </c>
      <c r="H440">
        <v>1</v>
      </c>
      <c r="I440">
        <v>150</v>
      </c>
      <c r="J440">
        <v>7.0000000000000007E-2</v>
      </c>
      <c r="K440" t="s">
        <v>18</v>
      </c>
      <c r="L440" t="s">
        <v>26</v>
      </c>
      <c r="M440" t="s">
        <v>315</v>
      </c>
      <c r="N440">
        <f>SalesTable[[#This Row],[الكمية]]*SalesTable[[#This Row],[سعر الوحدة]]</f>
        <v>150</v>
      </c>
      <c r="O440">
        <f>SalesTable[[#This Row],[الكمية]]*SalesTable[[#This Row],[سعر الوحدة]]*(1-SalesTable[[#This Row],[الخصم]])</f>
        <v>139.5</v>
      </c>
    </row>
    <row r="441" spans="1:15" x14ac:dyDescent="0.3">
      <c r="A441">
        <v>10440</v>
      </c>
      <c r="B441" t="s">
        <v>28</v>
      </c>
      <c r="C441" s="3">
        <v>46376</v>
      </c>
      <c r="D441" t="s">
        <v>40</v>
      </c>
      <c r="E441" t="s">
        <v>41</v>
      </c>
      <c r="F441" t="s">
        <v>64</v>
      </c>
      <c r="G441" t="s">
        <v>107</v>
      </c>
      <c r="H441">
        <v>5</v>
      </c>
      <c r="I441">
        <v>150</v>
      </c>
      <c r="J441">
        <v>0.03</v>
      </c>
      <c r="K441" t="s">
        <v>38</v>
      </c>
      <c r="L441" t="s">
        <v>26</v>
      </c>
      <c r="M441" t="s">
        <v>171</v>
      </c>
      <c r="N441">
        <f>SalesTable[[#This Row],[الكمية]]*SalesTable[[#This Row],[سعر الوحدة]]</f>
        <v>750</v>
      </c>
      <c r="O441">
        <f>SalesTable[[#This Row],[الكمية]]*SalesTable[[#This Row],[سعر الوحدة]]*(1-SalesTable[[#This Row],[الخصم]])</f>
        <v>727.5</v>
      </c>
    </row>
    <row r="442" spans="1:15" x14ac:dyDescent="0.3">
      <c r="A442">
        <v>10441</v>
      </c>
      <c r="B442" t="s">
        <v>21</v>
      </c>
      <c r="C442" s="3">
        <v>46137</v>
      </c>
      <c r="D442" t="s">
        <v>22</v>
      </c>
      <c r="E442" t="s">
        <v>23</v>
      </c>
      <c r="F442" t="s">
        <v>49</v>
      </c>
      <c r="G442" t="s">
        <v>98</v>
      </c>
      <c r="H442">
        <v>2</v>
      </c>
      <c r="I442">
        <v>25000</v>
      </c>
      <c r="J442">
        <v>0.1</v>
      </c>
      <c r="K442" t="s">
        <v>33</v>
      </c>
      <c r="L442" t="s">
        <v>26</v>
      </c>
      <c r="M442" t="s">
        <v>316</v>
      </c>
      <c r="N442">
        <f>SalesTable[[#This Row],[الكمية]]*SalesTable[[#This Row],[سعر الوحدة]]</f>
        <v>50000</v>
      </c>
      <c r="O442">
        <f>SalesTable[[#This Row],[الكمية]]*SalesTable[[#This Row],[سعر الوحدة]]*(1-SalesTable[[#This Row],[الخصم]])</f>
        <v>45000</v>
      </c>
    </row>
    <row r="443" spans="1:15" x14ac:dyDescent="0.3">
      <c r="A443">
        <v>10442</v>
      </c>
      <c r="B443" t="s">
        <v>36</v>
      </c>
      <c r="C443" s="3">
        <v>46236</v>
      </c>
      <c r="D443" t="s">
        <v>40</v>
      </c>
      <c r="E443" t="s">
        <v>41</v>
      </c>
      <c r="F443" t="s">
        <v>87</v>
      </c>
      <c r="G443" t="s">
        <v>103</v>
      </c>
      <c r="H443">
        <v>1</v>
      </c>
      <c r="I443">
        <v>150</v>
      </c>
      <c r="J443">
        <v>7.0000000000000007E-2</v>
      </c>
      <c r="K443" t="s">
        <v>38</v>
      </c>
      <c r="L443" t="s">
        <v>19</v>
      </c>
      <c r="M443" t="s">
        <v>265</v>
      </c>
      <c r="N443">
        <f>SalesTable[[#This Row],[الكمية]]*SalesTable[[#This Row],[سعر الوحدة]]</f>
        <v>150</v>
      </c>
      <c r="O443">
        <f>SalesTable[[#This Row],[الكمية]]*SalesTable[[#This Row],[سعر الوحدة]]*(1-SalesTable[[#This Row],[الخصم]])</f>
        <v>139.5</v>
      </c>
    </row>
    <row r="444" spans="1:15" x14ac:dyDescent="0.3">
      <c r="A444">
        <v>10443</v>
      </c>
      <c r="B444" t="s">
        <v>13</v>
      </c>
      <c r="C444" s="3">
        <v>46347</v>
      </c>
      <c r="D444" t="s">
        <v>81</v>
      </c>
      <c r="E444" t="s">
        <v>41</v>
      </c>
      <c r="F444" t="s">
        <v>87</v>
      </c>
      <c r="G444" t="s">
        <v>101</v>
      </c>
      <c r="H444">
        <v>10</v>
      </c>
      <c r="I444">
        <v>2200</v>
      </c>
      <c r="J444">
        <v>7.0000000000000007E-2</v>
      </c>
      <c r="K444" t="s">
        <v>38</v>
      </c>
      <c r="L444" t="s">
        <v>26</v>
      </c>
      <c r="M444" t="s">
        <v>317</v>
      </c>
      <c r="N444">
        <f>SalesTable[[#This Row],[الكمية]]*SalesTable[[#This Row],[سعر الوحدة]]</f>
        <v>22000</v>
      </c>
      <c r="O444">
        <f>SalesTable[[#This Row],[الكمية]]*SalesTable[[#This Row],[سعر الوحدة]]*(1-SalesTable[[#This Row],[الخصم]])</f>
        <v>20460</v>
      </c>
    </row>
    <row r="445" spans="1:15" x14ac:dyDescent="0.3">
      <c r="A445">
        <v>10444</v>
      </c>
      <c r="B445" t="s">
        <v>112</v>
      </c>
      <c r="C445" s="3">
        <v>46286</v>
      </c>
      <c r="D445" t="s">
        <v>110</v>
      </c>
      <c r="E445" t="s">
        <v>46</v>
      </c>
      <c r="F445" t="s">
        <v>59</v>
      </c>
      <c r="G445" t="s">
        <v>60</v>
      </c>
      <c r="H445">
        <v>2</v>
      </c>
      <c r="I445">
        <v>450</v>
      </c>
      <c r="J445">
        <v>0.03</v>
      </c>
      <c r="K445" t="s">
        <v>18</v>
      </c>
      <c r="L445" t="s">
        <v>47</v>
      </c>
      <c r="M445" t="s">
        <v>178</v>
      </c>
      <c r="N445">
        <f>SalesTable[[#This Row],[الكمية]]*SalesTable[[#This Row],[سعر الوحدة]]</f>
        <v>900</v>
      </c>
      <c r="O445">
        <f>SalesTable[[#This Row],[الكمية]]*SalesTable[[#This Row],[سعر الوحدة]]*(1-SalesTable[[#This Row],[الخصم]])</f>
        <v>873</v>
      </c>
    </row>
    <row r="446" spans="1:15" x14ac:dyDescent="0.3">
      <c r="A446">
        <v>10445</v>
      </c>
      <c r="B446" t="s">
        <v>112</v>
      </c>
      <c r="C446" s="3">
        <v>46322</v>
      </c>
      <c r="D446" t="s">
        <v>29</v>
      </c>
      <c r="E446" t="s">
        <v>30</v>
      </c>
      <c r="F446" t="s">
        <v>87</v>
      </c>
      <c r="G446" t="s">
        <v>103</v>
      </c>
      <c r="H446">
        <v>5</v>
      </c>
      <c r="I446">
        <v>7500</v>
      </c>
      <c r="J446">
        <v>0.03</v>
      </c>
      <c r="K446" t="s">
        <v>38</v>
      </c>
      <c r="L446" t="s">
        <v>19</v>
      </c>
      <c r="M446" t="s">
        <v>121</v>
      </c>
      <c r="N446">
        <f>SalesTable[[#This Row],[الكمية]]*SalesTable[[#This Row],[سعر الوحدة]]</f>
        <v>37500</v>
      </c>
      <c r="O446">
        <f>SalesTable[[#This Row],[الكمية]]*SalesTable[[#This Row],[سعر الوحدة]]*(1-SalesTable[[#This Row],[الخصم]])</f>
        <v>36375</v>
      </c>
    </row>
    <row r="447" spans="1:15" x14ac:dyDescent="0.3">
      <c r="A447">
        <v>10446</v>
      </c>
      <c r="B447" t="s">
        <v>94</v>
      </c>
      <c r="C447" s="3">
        <v>46049</v>
      </c>
      <c r="D447" t="s">
        <v>48</v>
      </c>
      <c r="E447" t="s">
        <v>30</v>
      </c>
      <c r="F447" t="s">
        <v>64</v>
      </c>
      <c r="G447" t="s">
        <v>71</v>
      </c>
      <c r="H447">
        <v>3</v>
      </c>
      <c r="I447">
        <v>9000</v>
      </c>
      <c r="J447">
        <v>0.05</v>
      </c>
      <c r="K447" t="s">
        <v>38</v>
      </c>
      <c r="L447" t="s">
        <v>47</v>
      </c>
      <c r="M447" t="s">
        <v>244</v>
      </c>
      <c r="N447">
        <f>SalesTable[[#This Row],[الكمية]]*SalesTable[[#This Row],[سعر الوحدة]]</f>
        <v>27000</v>
      </c>
      <c r="O447">
        <f>SalesTable[[#This Row],[الكمية]]*SalesTable[[#This Row],[سعر الوحدة]]*(1-SalesTable[[#This Row],[الخصم]])</f>
        <v>25650</v>
      </c>
    </row>
    <row r="448" spans="1:15" x14ac:dyDescent="0.3">
      <c r="A448">
        <v>10447</v>
      </c>
      <c r="B448" t="s">
        <v>13</v>
      </c>
      <c r="C448" s="3">
        <v>46117</v>
      </c>
      <c r="D448" t="s">
        <v>53</v>
      </c>
      <c r="E448" t="s">
        <v>15</v>
      </c>
      <c r="F448" t="s">
        <v>49</v>
      </c>
      <c r="G448" t="s">
        <v>50</v>
      </c>
      <c r="H448">
        <v>6</v>
      </c>
      <c r="I448">
        <v>3200</v>
      </c>
      <c r="J448">
        <v>0.1</v>
      </c>
      <c r="K448" t="s">
        <v>18</v>
      </c>
      <c r="L448" t="s">
        <v>26</v>
      </c>
      <c r="M448" t="s">
        <v>179</v>
      </c>
      <c r="N448">
        <f>SalesTable[[#This Row],[الكمية]]*SalesTable[[#This Row],[سعر الوحدة]]</f>
        <v>19200</v>
      </c>
      <c r="O448">
        <f>SalesTable[[#This Row],[الكمية]]*SalesTable[[#This Row],[سعر الوحدة]]*(1-SalesTable[[#This Row],[الخصم]])</f>
        <v>17280</v>
      </c>
    </row>
    <row r="449" spans="1:15" x14ac:dyDescent="0.3">
      <c r="A449">
        <v>10448</v>
      </c>
      <c r="B449" t="s">
        <v>13</v>
      </c>
      <c r="C449" s="3">
        <v>46362</v>
      </c>
      <c r="D449" t="s">
        <v>53</v>
      </c>
      <c r="E449" t="s">
        <v>15</v>
      </c>
      <c r="F449" t="s">
        <v>84</v>
      </c>
      <c r="G449" t="s">
        <v>120</v>
      </c>
      <c r="H449">
        <v>6</v>
      </c>
      <c r="I449">
        <v>3200</v>
      </c>
      <c r="J449">
        <v>0.03</v>
      </c>
      <c r="K449" t="s">
        <v>38</v>
      </c>
      <c r="L449" t="s">
        <v>34</v>
      </c>
      <c r="M449" t="s">
        <v>243</v>
      </c>
      <c r="N449">
        <f>SalesTable[[#This Row],[الكمية]]*SalesTable[[#This Row],[سعر الوحدة]]</f>
        <v>19200</v>
      </c>
      <c r="O449">
        <f>SalesTable[[#This Row],[الكمية]]*SalesTable[[#This Row],[سعر الوحدة]]*(1-SalesTable[[#This Row],[الخصم]])</f>
        <v>18624</v>
      </c>
    </row>
    <row r="450" spans="1:15" x14ac:dyDescent="0.3">
      <c r="A450">
        <v>10449</v>
      </c>
      <c r="B450" t="s">
        <v>21</v>
      </c>
      <c r="C450" s="3">
        <v>46355</v>
      </c>
      <c r="D450" t="s">
        <v>110</v>
      </c>
      <c r="E450" t="s">
        <v>46</v>
      </c>
      <c r="F450" t="s">
        <v>31</v>
      </c>
      <c r="G450" t="s">
        <v>77</v>
      </c>
      <c r="H450">
        <v>9</v>
      </c>
      <c r="I450">
        <v>450</v>
      </c>
      <c r="J450">
        <v>7.0000000000000007E-2</v>
      </c>
      <c r="K450" t="s">
        <v>18</v>
      </c>
      <c r="L450" t="s">
        <v>19</v>
      </c>
      <c r="M450" t="s">
        <v>318</v>
      </c>
      <c r="N450">
        <f>SalesTable[[#This Row],[الكمية]]*SalesTable[[#This Row],[سعر الوحدة]]</f>
        <v>4050</v>
      </c>
      <c r="O450">
        <f>SalesTable[[#This Row],[الكمية]]*SalesTable[[#This Row],[سعر الوحدة]]*(1-SalesTable[[#This Row],[الخصم]])</f>
        <v>3766.4999999999995</v>
      </c>
    </row>
    <row r="451" spans="1:15" x14ac:dyDescent="0.3">
      <c r="A451">
        <v>10450</v>
      </c>
      <c r="B451" t="s">
        <v>13</v>
      </c>
      <c r="C451" s="3">
        <v>46043</v>
      </c>
      <c r="D451" t="s">
        <v>48</v>
      </c>
      <c r="E451" t="s">
        <v>30</v>
      </c>
      <c r="F451" t="s">
        <v>31</v>
      </c>
      <c r="G451" t="s">
        <v>77</v>
      </c>
      <c r="H451">
        <v>10</v>
      </c>
      <c r="I451">
        <v>9000</v>
      </c>
      <c r="J451">
        <v>0.1</v>
      </c>
      <c r="K451" t="s">
        <v>38</v>
      </c>
      <c r="L451" t="s">
        <v>47</v>
      </c>
      <c r="M451" t="s">
        <v>319</v>
      </c>
      <c r="N451">
        <f>SalesTable[[#This Row],[الكمية]]*SalesTable[[#This Row],[سعر الوحدة]]</f>
        <v>90000</v>
      </c>
      <c r="O451">
        <f>SalesTable[[#This Row],[الكمية]]*SalesTable[[#This Row],[سعر الوحدة]]*(1-SalesTable[[#This Row],[الخصم]])</f>
        <v>81000</v>
      </c>
    </row>
    <row r="452" spans="1:15" x14ac:dyDescent="0.3">
      <c r="A452">
        <v>10451</v>
      </c>
      <c r="B452" t="s">
        <v>21</v>
      </c>
      <c r="C452" s="3">
        <v>46214</v>
      </c>
      <c r="D452" t="s">
        <v>29</v>
      </c>
      <c r="E452" t="s">
        <v>30</v>
      </c>
      <c r="F452" t="s">
        <v>87</v>
      </c>
      <c r="G452" t="s">
        <v>103</v>
      </c>
      <c r="H452">
        <v>5</v>
      </c>
      <c r="I452">
        <v>7500</v>
      </c>
      <c r="J452">
        <v>0</v>
      </c>
      <c r="K452" t="s">
        <v>33</v>
      </c>
      <c r="L452" t="s">
        <v>47</v>
      </c>
      <c r="M452" t="s">
        <v>119</v>
      </c>
      <c r="N452">
        <f>SalesTable[[#This Row],[الكمية]]*SalesTable[[#This Row],[سعر الوحدة]]</f>
        <v>37500</v>
      </c>
      <c r="O452">
        <f>SalesTable[[#This Row],[الكمية]]*SalesTable[[#This Row],[سعر الوحدة]]*(1-SalesTable[[#This Row],[الخصم]])</f>
        <v>37500</v>
      </c>
    </row>
    <row r="453" spans="1:15" x14ac:dyDescent="0.3">
      <c r="A453">
        <v>10452</v>
      </c>
      <c r="B453" t="s">
        <v>44</v>
      </c>
      <c r="C453" s="3">
        <v>46108</v>
      </c>
      <c r="D453" t="s">
        <v>110</v>
      </c>
      <c r="E453" t="s">
        <v>46</v>
      </c>
      <c r="F453" t="s">
        <v>31</v>
      </c>
      <c r="G453" t="s">
        <v>32</v>
      </c>
      <c r="H453">
        <v>9</v>
      </c>
      <c r="I453">
        <v>450</v>
      </c>
      <c r="J453">
        <v>0</v>
      </c>
      <c r="K453" t="s">
        <v>18</v>
      </c>
      <c r="L453" t="s">
        <v>19</v>
      </c>
      <c r="M453" t="s">
        <v>320</v>
      </c>
      <c r="N453">
        <f>SalesTable[[#This Row],[الكمية]]*SalesTable[[#This Row],[سعر الوحدة]]</f>
        <v>4050</v>
      </c>
      <c r="O453">
        <f>SalesTable[[#This Row],[الكمية]]*SalesTable[[#This Row],[سعر الوحدة]]*(1-SalesTable[[#This Row],[الخصم]])</f>
        <v>4050</v>
      </c>
    </row>
    <row r="454" spans="1:15" x14ac:dyDescent="0.3">
      <c r="A454">
        <v>10453</v>
      </c>
      <c r="B454" t="s">
        <v>13</v>
      </c>
      <c r="C454" s="3">
        <v>46298</v>
      </c>
      <c r="D454" t="s">
        <v>14</v>
      </c>
      <c r="E454" t="s">
        <v>15</v>
      </c>
      <c r="F454" t="s">
        <v>31</v>
      </c>
      <c r="G454" t="s">
        <v>77</v>
      </c>
      <c r="H454">
        <v>7</v>
      </c>
      <c r="I454">
        <v>650</v>
      </c>
      <c r="J454">
        <v>0</v>
      </c>
      <c r="K454" t="s">
        <v>33</v>
      </c>
      <c r="L454" t="s">
        <v>19</v>
      </c>
      <c r="M454" t="s">
        <v>63</v>
      </c>
      <c r="N454">
        <f>SalesTable[[#This Row],[الكمية]]*SalesTable[[#This Row],[سعر الوحدة]]</f>
        <v>4550</v>
      </c>
      <c r="O454">
        <f>SalesTable[[#This Row],[الكمية]]*SalesTable[[#This Row],[سعر الوحدة]]*(1-SalesTable[[#This Row],[الخصم]])</f>
        <v>4550</v>
      </c>
    </row>
    <row r="455" spans="1:15" x14ac:dyDescent="0.3">
      <c r="A455">
        <v>10454</v>
      </c>
      <c r="B455" t="s">
        <v>44</v>
      </c>
      <c r="C455" s="3">
        <v>46060</v>
      </c>
      <c r="D455" t="s">
        <v>22</v>
      </c>
      <c r="E455" t="s">
        <v>23</v>
      </c>
      <c r="F455" t="s">
        <v>59</v>
      </c>
      <c r="G455" t="s">
        <v>75</v>
      </c>
      <c r="H455">
        <v>6</v>
      </c>
      <c r="I455">
        <v>25000</v>
      </c>
      <c r="J455">
        <v>0</v>
      </c>
      <c r="K455" t="s">
        <v>18</v>
      </c>
      <c r="L455" t="s">
        <v>26</v>
      </c>
      <c r="M455" t="s">
        <v>321</v>
      </c>
      <c r="N455">
        <f>SalesTable[[#This Row],[الكمية]]*SalesTable[[#This Row],[سعر الوحدة]]</f>
        <v>150000</v>
      </c>
      <c r="O455">
        <f>SalesTable[[#This Row],[الكمية]]*SalesTable[[#This Row],[سعر الوحدة]]*(1-SalesTable[[#This Row],[الخصم]])</f>
        <v>150000</v>
      </c>
    </row>
    <row r="456" spans="1:15" x14ac:dyDescent="0.3">
      <c r="A456">
        <v>10455</v>
      </c>
      <c r="B456" t="s">
        <v>36</v>
      </c>
      <c r="C456" s="3">
        <v>46253</v>
      </c>
      <c r="D456" t="s">
        <v>53</v>
      </c>
      <c r="E456" t="s">
        <v>15</v>
      </c>
      <c r="F456" t="s">
        <v>16</v>
      </c>
      <c r="G456" t="s">
        <v>96</v>
      </c>
      <c r="H456">
        <v>5</v>
      </c>
      <c r="I456">
        <v>3200</v>
      </c>
      <c r="J456">
        <v>7.0000000000000007E-2</v>
      </c>
      <c r="K456" t="s">
        <v>33</v>
      </c>
      <c r="L456" t="s">
        <v>47</v>
      </c>
      <c r="M456" t="s">
        <v>261</v>
      </c>
      <c r="N456">
        <f>SalesTable[[#This Row],[الكمية]]*SalesTable[[#This Row],[سعر الوحدة]]</f>
        <v>16000</v>
      </c>
      <c r="O456">
        <f>SalesTable[[#This Row],[الكمية]]*SalesTable[[#This Row],[سعر الوحدة]]*(1-SalesTable[[#This Row],[الخصم]])</f>
        <v>14879.999999999998</v>
      </c>
    </row>
    <row r="457" spans="1:15" x14ac:dyDescent="0.3">
      <c r="A457">
        <v>10456</v>
      </c>
      <c r="B457" t="s">
        <v>28</v>
      </c>
      <c r="C457" s="3">
        <v>46351</v>
      </c>
      <c r="D457" t="s">
        <v>22</v>
      </c>
      <c r="E457" t="s">
        <v>23</v>
      </c>
      <c r="F457" t="s">
        <v>84</v>
      </c>
      <c r="G457" t="s">
        <v>113</v>
      </c>
      <c r="H457">
        <v>2</v>
      </c>
      <c r="I457">
        <v>25000</v>
      </c>
      <c r="J457">
        <v>0.1</v>
      </c>
      <c r="K457" t="s">
        <v>18</v>
      </c>
      <c r="L457" t="s">
        <v>19</v>
      </c>
      <c r="M457" t="s">
        <v>322</v>
      </c>
      <c r="N457">
        <f>SalesTable[[#This Row],[الكمية]]*SalesTable[[#This Row],[سعر الوحدة]]</f>
        <v>50000</v>
      </c>
      <c r="O457">
        <f>SalesTable[[#This Row],[الكمية]]*SalesTable[[#This Row],[سعر الوحدة]]*(1-SalesTable[[#This Row],[الخصم]])</f>
        <v>45000</v>
      </c>
    </row>
    <row r="458" spans="1:15" x14ac:dyDescent="0.3">
      <c r="A458">
        <v>10457</v>
      </c>
      <c r="B458" t="s">
        <v>44</v>
      </c>
      <c r="C458" s="3">
        <v>46167</v>
      </c>
      <c r="D458" t="s">
        <v>70</v>
      </c>
      <c r="E458" t="s">
        <v>46</v>
      </c>
      <c r="F458" t="s">
        <v>16</v>
      </c>
      <c r="G458" t="s">
        <v>79</v>
      </c>
      <c r="H458">
        <v>5</v>
      </c>
      <c r="I458">
        <v>1800</v>
      </c>
      <c r="J458">
        <v>0.1</v>
      </c>
      <c r="K458" t="s">
        <v>33</v>
      </c>
      <c r="L458" t="s">
        <v>47</v>
      </c>
      <c r="M458" t="s">
        <v>323</v>
      </c>
      <c r="N458">
        <f>SalesTable[[#This Row],[الكمية]]*SalesTable[[#This Row],[سعر الوحدة]]</f>
        <v>9000</v>
      </c>
      <c r="O458">
        <f>SalesTable[[#This Row],[الكمية]]*SalesTable[[#This Row],[سعر الوحدة]]*(1-SalesTable[[#This Row],[الخصم]])</f>
        <v>8100</v>
      </c>
    </row>
    <row r="459" spans="1:15" x14ac:dyDescent="0.3">
      <c r="A459">
        <v>10458</v>
      </c>
      <c r="B459" t="s">
        <v>13</v>
      </c>
      <c r="C459" s="3">
        <v>46092</v>
      </c>
      <c r="D459" t="s">
        <v>68</v>
      </c>
      <c r="E459" t="s">
        <v>46</v>
      </c>
      <c r="F459" t="s">
        <v>24</v>
      </c>
      <c r="G459" t="s">
        <v>42</v>
      </c>
      <c r="H459">
        <v>3</v>
      </c>
      <c r="I459">
        <v>1400</v>
      </c>
      <c r="J459">
        <v>0.1</v>
      </c>
      <c r="K459" t="s">
        <v>33</v>
      </c>
      <c r="L459" t="s">
        <v>34</v>
      </c>
      <c r="M459" t="s">
        <v>225</v>
      </c>
      <c r="N459">
        <f>SalesTable[[#This Row],[الكمية]]*SalesTable[[#This Row],[سعر الوحدة]]</f>
        <v>4200</v>
      </c>
      <c r="O459">
        <f>SalesTable[[#This Row],[الكمية]]*SalesTable[[#This Row],[سعر الوحدة]]*(1-SalesTable[[#This Row],[الخصم]])</f>
        <v>3780</v>
      </c>
    </row>
    <row r="460" spans="1:15" x14ac:dyDescent="0.3">
      <c r="A460">
        <v>10459</v>
      </c>
      <c r="B460" t="s">
        <v>112</v>
      </c>
      <c r="C460" s="3">
        <v>46086</v>
      </c>
      <c r="D460" t="s">
        <v>110</v>
      </c>
      <c r="E460" t="s">
        <v>46</v>
      </c>
      <c r="F460" t="s">
        <v>49</v>
      </c>
      <c r="G460" t="s">
        <v>50</v>
      </c>
      <c r="H460">
        <v>9</v>
      </c>
      <c r="I460">
        <v>450</v>
      </c>
      <c r="J460">
        <v>0.1</v>
      </c>
      <c r="K460" t="s">
        <v>18</v>
      </c>
      <c r="L460" t="s">
        <v>19</v>
      </c>
      <c r="M460" t="s">
        <v>244</v>
      </c>
      <c r="N460">
        <f>SalesTable[[#This Row],[الكمية]]*SalesTable[[#This Row],[سعر الوحدة]]</f>
        <v>4050</v>
      </c>
      <c r="O460">
        <f>SalesTable[[#This Row],[الكمية]]*SalesTable[[#This Row],[سعر الوحدة]]*(1-SalesTable[[#This Row],[الخصم]])</f>
        <v>3645</v>
      </c>
    </row>
    <row r="461" spans="1:15" x14ac:dyDescent="0.3">
      <c r="A461">
        <v>10460</v>
      </c>
      <c r="B461" t="s">
        <v>52</v>
      </c>
      <c r="C461" s="3">
        <v>46130</v>
      </c>
      <c r="D461" t="s">
        <v>95</v>
      </c>
      <c r="E461" t="s">
        <v>15</v>
      </c>
      <c r="F461" t="s">
        <v>84</v>
      </c>
      <c r="G461" t="s">
        <v>113</v>
      </c>
      <c r="H461">
        <v>9</v>
      </c>
      <c r="I461">
        <v>5200</v>
      </c>
      <c r="J461">
        <v>0</v>
      </c>
      <c r="K461" t="s">
        <v>38</v>
      </c>
      <c r="L461" t="s">
        <v>26</v>
      </c>
      <c r="M461" t="s">
        <v>161</v>
      </c>
      <c r="N461">
        <f>SalesTable[[#This Row],[الكمية]]*SalesTable[[#This Row],[سعر الوحدة]]</f>
        <v>46800</v>
      </c>
      <c r="O461">
        <f>SalesTable[[#This Row],[الكمية]]*SalesTable[[#This Row],[سعر الوحدة]]*(1-SalesTable[[#This Row],[الخصم]])</f>
        <v>46800</v>
      </c>
    </row>
    <row r="462" spans="1:15" x14ac:dyDescent="0.3">
      <c r="A462">
        <v>10461</v>
      </c>
      <c r="B462" t="s">
        <v>94</v>
      </c>
      <c r="C462" s="3">
        <v>46152</v>
      </c>
      <c r="D462" t="s">
        <v>90</v>
      </c>
      <c r="E462" t="s">
        <v>91</v>
      </c>
      <c r="F462" t="s">
        <v>64</v>
      </c>
      <c r="G462" t="s">
        <v>184</v>
      </c>
      <c r="H462">
        <v>3</v>
      </c>
      <c r="I462">
        <v>6500</v>
      </c>
      <c r="J462">
        <v>0.03</v>
      </c>
      <c r="K462" t="s">
        <v>55</v>
      </c>
      <c r="L462" t="s">
        <v>19</v>
      </c>
      <c r="M462" t="s">
        <v>159</v>
      </c>
      <c r="N462">
        <f>SalesTable[[#This Row],[الكمية]]*SalesTable[[#This Row],[سعر الوحدة]]</f>
        <v>19500</v>
      </c>
      <c r="O462">
        <f>SalesTable[[#This Row],[الكمية]]*SalesTable[[#This Row],[سعر الوحدة]]*(1-SalesTable[[#This Row],[الخصم]])</f>
        <v>18915</v>
      </c>
    </row>
    <row r="463" spans="1:15" x14ac:dyDescent="0.3">
      <c r="A463">
        <v>10462</v>
      </c>
      <c r="B463" t="s">
        <v>52</v>
      </c>
      <c r="C463" s="3">
        <v>46366</v>
      </c>
      <c r="D463" t="s">
        <v>14</v>
      </c>
      <c r="E463" t="s">
        <v>15</v>
      </c>
      <c r="F463" t="s">
        <v>24</v>
      </c>
      <c r="G463" t="s">
        <v>42</v>
      </c>
      <c r="H463">
        <v>9</v>
      </c>
      <c r="I463">
        <v>650</v>
      </c>
      <c r="J463">
        <v>0</v>
      </c>
      <c r="K463" t="s">
        <v>18</v>
      </c>
      <c r="L463" t="s">
        <v>34</v>
      </c>
      <c r="M463" t="s">
        <v>183</v>
      </c>
      <c r="N463">
        <f>SalesTable[[#This Row],[الكمية]]*SalesTable[[#This Row],[سعر الوحدة]]</f>
        <v>5850</v>
      </c>
      <c r="O463">
        <f>SalesTable[[#This Row],[الكمية]]*SalesTable[[#This Row],[سعر الوحدة]]*(1-SalesTable[[#This Row],[الخصم]])</f>
        <v>5850</v>
      </c>
    </row>
    <row r="464" spans="1:15" x14ac:dyDescent="0.3">
      <c r="A464">
        <v>10463</v>
      </c>
      <c r="B464" t="s">
        <v>13</v>
      </c>
      <c r="C464" s="3">
        <v>46074</v>
      </c>
      <c r="D464" t="s">
        <v>45</v>
      </c>
      <c r="E464" t="s">
        <v>46</v>
      </c>
      <c r="F464" t="s">
        <v>59</v>
      </c>
      <c r="G464" t="s">
        <v>105</v>
      </c>
      <c r="H464">
        <v>6</v>
      </c>
      <c r="I464">
        <v>1200</v>
      </c>
      <c r="J464">
        <v>0.03</v>
      </c>
      <c r="K464" t="s">
        <v>38</v>
      </c>
      <c r="L464" t="s">
        <v>19</v>
      </c>
      <c r="M464" t="s">
        <v>317</v>
      </c>
      <c r="N464">
        <f>SalesTable[[#This Row],[الكمية]]*SalesTable[[#This Row],[سعر الوحدة]]</f>
        <v>7200</v>
      </c>
      <c r="O464">
        <f>SalesTable[[#This Row],[الكمية]]*SalesTable[[#This Row],[سعر الوحدة]]*(1-SalesTable[[#This Row],[الخصم]])</f>
        <v>6984</v>
      </c>
    </row>
    <row r="465" spans="1:15" x14ac:dyDescent="0.3">
      <c r="A465">
        <v>10464</v>
      </c>
      <c r="B465" t="s">
        <v>52</v>
      </c>
      <c r="C465" s="3">
        <v>46378</v>
      </c>
      <c r="D465" t="s">
        <v>70</v>
      </c>
      <c r="E465" t="s">
        <v>46</v>
      </c>
      <c r="F465" t="s">
        <v>59</v>
      </c>
      <c r="G465" t="s">
        <v>105</v>
      </c>
      <c r="H465">
        <v>6</v>
      </c>
      <c r="I465">
        <v>1800</v>
      </c>
      <c r="J465">
        <v>0.1</v>
      </c>
      <c r="K465" t="s">
        <v>55</v>
      </c>
      <c r="L465" t="s">
        <v>34</v>
      </c>
      <c r="M465" t="s">
        <v>261</v>
      </c>
      <c r="N465">
        <f>SalesTable[[#This Row],[الكمية]]*SalesTable[[#This Row],[سعر الوحدة]]</f>
        <v>10800</v>
      </c>
      <c r="O465">
        <f>SalesTable[[#This Row],[الكمية]]*SalesTable[[#This Row],[سعر الوحدة]]*(1-SalesTable[[#This Row],[الخصم]])</f>
        <v>9720</v>
      </c>
    </row>
    <row r="466" spans="1:15" x14ac:dyDescent="0.3">
      <c r="A466">
        <v>10465</v>
      </c>
      <c r="B466" t="s">
        <v>13</v>
      </c>
      <c r="C466" s="3">
        <v>46387</v>
      </c>
      <c r="D466" t="s">
        <v>29</v>
      </c>
      <c r="E466" t="s">
        <v>30</v>
      </c>
      <c r="F466" t="s">
        <v>64</v>
      </c>
      <c r="G466" t="s">
        <v>71</v>
      </c>
      <c r="H466">
        <v>6</v>
      </c>
      <c r="I466">
        <v>7500</v>
      </c>
      <c r="J466">
        <v>0.03</v>
      </c>
      <c r="K466" t="s">
        <v>33</v>
      </c>
      <c r="L466" t="s">
        <v>34</v>
      </c>
      <c r="M466" t="s">
        <v>243</v>
      </c>
      <c r="N466">
        <f>SalesTable[[#This Row],[الكمية]]*SalesTable[[#This Row],[سعر الوحدة]]</f>
        <v>45000</v>
      </c>
      <c r="O466">
        <f>SalesTable[[#This Row],[الكمية]]*SalesTable[[#This Row],[سعر الوحدة]]*(1-SalesTable[[#This Row],[الخصم]])</f>
        <v>43650</v>
      </c>
    </row>
    <row r="467" spans="1:15" x14ac:dyDescent="0.3">
      <c r="A467">
        <v>10466</v>
      </c>
      <c r="B467" t="s">
        <v>67</v>
      </c>
      <c r="C467" s="3">
        <v>46179</v>
      </c>
      <c r="D467" t="s">
        <v>37</v>
      </c>
      <c r="E467" t="s">
        <v>23</v>
      </c>
      <c r="F467" t="s">
        <v>49</v>
      </c>
      <c r="G467" t="s">
        <v>98</v>
      </c>
      <c r="H467">
        <v>8</v>
      </c>
      <c r="I467">
        <v>32000</v>
      </c>
      <c r="J467">
        <v>7.0000000000000007E-2</v>
      </c>
      <c r="K467" t="s">
        <v>33</v>
      </c>
      <c r="L467" t="s">
        <v>19</v>
      </c>
      <c r="M467" t="s">
        <v>187</v>
      </c>
      <c r="N467">
        <f>SalesTable[[#This Row],[الكمية]]*SalesTable[[#This Row],[سعر الوحدة]]</f>
        <v>256000</v>
      </c>
      <c r="O467">
        <f>SalesTable[[#This Row],[الكمية]]*SalesTable[[#This Row],[سعر الوحدة]]*(1-SalesTable[[#This Row],[الخصم]])</f>
        <v>238079.99999999997</v>
      </c>
    </row>
    <row r="468" spans="1:15" x14ac:dyDescent="0.3">
      <c r="A468">
        <v>10467</v>
      </c>
      <c r="B468" t="s">
        <v>13</v>
      </c>
      <c r="C468" s="3">
        <v>46157</v>
      </c>
      <c r="D468" t="s">
        <v>14</v>
      </c>
      <c r="E468" t="s">
        <v>15</v>
      </c>
      <c r="F468" t="s">
        <v>16</v>
      </c>
      <c r="G468" t="s">
        <v>79</v>
      </c>
      <c r="H468">
        <v>3</v>
      </c>
      <c r="I468">
        <v>650</v>
      </c>
      <c r="J468">
        <v>0.1</v>
      </c>
      <c r="K468" t="s">
        <v>18</v>
      </c>
      <c r="L468" t="s">
        <v>19</v>
      </c>
      <c r="M468" t="s">
        <v>217</v>
      </c>
      <c r="N468">
        <f>SalesTable[[#This Row],[الكمية]]*SalesTable[[#This Row],[سعر الوحدة]]</f>
        <v>1950</v>
      </c>
      <c r="O468">
        <f>SalesTable[[#This Row],[الكمية]]*SalesTable[[#This Row],[سعر الوحدة]]*(1-SalesTable[[#This Row],[الخصم]])</f>
        <v>1755</v>
      </c>
    </row>
    <row r="469" spans="1:15" x14ac:dyDescent="0.3">
      <c r="A469">
        <v>10468</v>
      </c>
      <c r="B469" t="s">
        <v>28</v>
      </c>
      <c r="C469" s="3">
        <v>46305</v>
      </c>
      <c r="D469" t="s">
        <v>68</v>
      </c>
      <c r="E469" t="s">
        <v>46</v>
      </c>
      <c r="F469" t="s">
        <v>24</v>
      </c>
      <c r="G469" t="s">
        <v>42</v>
      </c>
      <c r="H469">
        <v>10</v>
      </c>
      <c r="I469">
        <v>1400</v>
      </c>
      <c r="J469">
        <v>0.03</v>
      </c>
      <c r="K469" t="s">
        <v>38</v>
      </c>
      <c r="L469" t="s">
        <v>47</v>
      </c>
      <c r="M469" t="s">
        <v>155</v>
      </c>
      <c r="N469">
        <f>SalesTable[[#This Row],[الكمية]]*SalesTable[[#This Row],[سعر الوحدة]]</f>
        <v>14000</v>
      </c>
      <c r="O469">
        <f>SalesTable[[#This Row],[الكمية]]*SalesTable[[#This Row],[سعر الوحدة]]*(1-SalesTable[[#This Row],[الخصم]])</f>
        <v>13580</v>
      </c>
    </row>
    <row r="470" spans="1:15" x14ac:dyDescent="0.3">
      <c r="A470">
        <v>10469</v>
      </c>
      <c r="B470" t="s">
        <v>52</v>
      </c>
      <c r="C470" s="3">
        <v>46091</v>
      </c>
      <c r="D470" t="s">
        <v>70</v>
      </c>
      <c r="E470" t="s">
        <v>46</v>
      </c>
      <c r="F470" t="s">
        <v>84</v>
      </c>
      <c r="G470" t="s">
        <v>120</v>
      </c>
      <c r="H470">
        <v>10</v>
      </c>
      <c r="I470">
        <v>1800</v>
      </c>
      <c r="J470">
        <v>0.15</v>
      </c>
      <c r="K470" t="s">
        <v>33</v>
      </c>
      <c r="L470" t="s">
        <v>19</v>
      </c>
      <c r="M470" t="s">
        <v>181</v>
      </c>
      <c r="N470">
        <f>SalesTable[[#This Row],[الكمية]]*SalesTable[[#This Row],[سعر الوحدة]]</f>
        <v>18000</v>
      </c>
      <c r="O470">
        <f>SalesTable[[#This Row],[الكمية]]*SalesTable[[#This Row],[سعر الوحدة]]*(1-SalesTable[[#This Row],[الخصم]])</f>
        <v>15300</v>
      </c>
    </row>
    <row r="471" spans="1:15" x14ac:dyDescent="0.3">
      <c r="A471">
        <v>10470</v>
      </c>
      <c r="B471" t="s">
        <v>112</v>
      </c>
      <c r="C471" s="3">
        <v>46286</v>
      </c>
      <c r="D471" t="s">
        <v>70</v>
      </c>
      <c r="E471" t="s">
        <v>46</v>
      </c>
      <c r="F471" t="s">
        <v>24</v>
      </c>
      <c r="G471" t="s">
        <v>73</v>
      </c>
      <c r="H471">
        <v>10</v>
      </c>
      <c r="I471">
        <v>1800</v>
      </c>
      <c r="J471">
        <v>0.15</v>
      </c>
      <c r="K471" t="s">
        <v>55</v>
      </c>
      <c r="L471" t="s">
        <v>47</v>
      </c>
      <c r="M471" t="s">
        <v>163</v>
      </c>
      <c r="N471">
        <f>SalesTable[[#This Row],[الكمية]]*SalesTable[[#This Row],[سعر الوحدة]]</f>
        <v>18000</v>
      </c>
      <c r="O471">
        <f>SalesTable[[#This Row],[الكمية]]*SalesTable[[#This Row],[سعر الوحدة]]*(1-SalesTable[[#This Row],[الخصم]])</f>
        <v>15300</v>
      </c>
    </row>
    <row r="472" spans="1:15" x14ac:dyDescent="0.3">
      <c r="A472">
        <v>10471</v>
      </c>
      <c r="B472" t="s">
        <v>13</v>
      </c>
      <c r="C472" s="3">
        <v>46272</v>
      </c>
      <c r="D472" t="s">
        <v>37</v>
      </c>
      <c r="E472" t="s">
        <v>23</v>
      </c>
      <c r="F472" t="s">
        <v>64</v>
      </c>
      <c r="G472" t="s">
        <v>65</v>
      </c>
      <c r="H472">
        <v>6</v>
      </c>
      <c r="I472">
        <v>32000</v>
      </c>
      <c r="J472">
        <v>0</v>
      </c>
      <c r="K472" t="s">
        <v>55</v>
      </c>
      <c r="L472" t="s">
        <v>19</v>
      </c>
      <c r="M472" t="s">
        <v>39</v>
      </c>
      <c r="N472">
        <f>SalesTable[[#This Row],[الكمية]]*SalesTable[[#This Row],[سعر الوحدة]]</f>
        <v>192000</v>
      </c>
      <c r="O472">
        <f>SalesTable[[#This Row],[الكمية]]*SalesTable[[#This Row],[سعر الوحدة]]*(1-SalesTable[[#This Row],[الخصم]])</f>
        <v>192000</v>
      </c>
    </row>
    <row r="473" spans="1:15" x14ac:dyDescent="0.3">
      <c r="A473">
        <v>10472</v>
      </c>
      <c r="B473" t="s">
        <v>67</v>
      </c>
      <c r="C473" s="3">
        <v>46221</v>
      </c>
      <c r="D473" t="s">
        <v>70</v>
      </c>
      <c r="E473" t="s">
        <v>46</v>
      </c>
      <c r="F473" t="s">
        <v>31</v>
      </c>
      <c r="G473" t="s">
        <v>54</v>
      </c>
      <c r="H473">
        <v>4</v>
      </c>
      <c r="I473">
        <v>1800</v>
      </c>
      <c r="J473">
        <v>0.1</v>
      </c>
      <c r="K473" t="s">
        <v>33</v>
      </c>
      <c r="L473" t="s">
        <v>47</v>
      </c>
      <c r="M473" t="s">
        <v>198</v>
      </c>
      <c r="N473">
        <f>SalesTable[[#This Row],[الكمية]]*SalesTable[[#This Row],[سعر الوحدة]]</f>
        <v>7200</v>
      </c>
      <c r="O473">
        <f>SalesTable[[#This Row],[الكمية]]*SalesTable[[#This Row],[سعر الوحدة]]*(1-SalesTable[[#This Row],[الخصم]])</f>
        <v>6480</v>
      </c>
    </row>
    <row r="474" spans="1:15" x14ac:dyDescent="0.3">
      <c r="A474">
        <v>10473</v>
      </c>
      <c r="B474" t="s">
        <v>52</v>
      </c>
      <c r="C474" s="3">
        <v>46157</v>
      </c>
      <c r="D474" t="s">
        <v>22</v>
      </c>
      <c r="E474" t="s">
        <v>23</v>
      </c>
      <c r="F474" t="s">
        <v>49</v>
      </c>
      <c r="G474" t="s">
        <v>50</v>
      </c>
      <c r="H474">
        <v>9</v>
      </c>
      <c r="I474">
        <v>25000</v>
      </c>
      <c r="J474">
        <v>0.15</v>
      </c>
      <c r="K474" t="s">
        <v>55</v>
      </c>
      <c r="L474" t="s">
        <v>47</v>
      </c>
      <c r="M474" t="s">
        <v>324</v>
      </c>
      <c r="N474">
        <f>SalesTable[[#This Row],[الكمية]]*SalesTable[[#This Row],[سعر الوحدة]]</f>
        <v>225000</v>
      </c>
      <c r="O474">
        <f>SalesTable[[#This Row],[الكمية]]*SalesTable[[#This Row],[سعر الوحدة]]*(1-SalesTable[[#This Row],[الخصم]])</f>
        <v>191250</v>
      </c>
    </row>
    <row r="475" spans="1:15" x14ac:dyDescent="0.3">
      <c r="A475">
        <v>10474</v>
      </c>
      <c r="B475" t="s">
        <v>21</v>
      </c>
      <c r="C475" s="3">
        <v>46230</v>
      </c>
      <c r="D475" t="s">
        <v>70</v>
      </c>
      <c r="E475" t="s">
        <v>46</v>
      </c>
      <c r="F475" t="s">
        <v>16</v>
      </c>
      <c r="G475" t="s">
        <v>79</v>
      </c>
      <c r="H475">
        <v>7</v>
      </c>
      <c r="I475">
        <v>1800</v>
      </c>
      <c r="J475">
        <v>0.03</v>
      </c>
      <c r="K475" t="s">
        <v>38</v>
      </c>
      <c r="L475" t="s">
        <v>34</v>
      </c>
      <c r="M475" t="s">
        <v>256</v>
      </c>
      <c r="N475">
        <f>SalesTable[[#This Row],[الكمية]]*SalesTable[[#This Row],[سعر الوحدة]]</f>
        <v>12600</v>
      </c>
      <c r="O475">
        <f>SalesTable[[#This Row],[الكمية]]*SalesTable[[#This Row],[سعر الوحدة]]*(1-SalesTable[[#This Row],[الخصم]])</f>
        <v>12222</v>
      </c>
    </row>
    <row r="476" spans="1:15" x14ac:dyDescent="0.3">
      <c r="A476">
        <v>10475</v>
      </c>
      <c r="B476" t="s">
        <v>112</v>
      </c>
      <c r="C476" s="3">
        <v>46248</v>
      </c>
      <c r="D476" t="s">
        <v>40</v>
      </c>
      <c r="E476" t="s">
        <v>41</v>
      </c>
      <c r="F476" t="s">
        <v>59</v>
      </c>
      <c r="G476" t="s">
        <v>75</v>
      </c>
      <c r="H476">
        <v>1</v>
      </c>
      <c r="I476">
        <v>150</v>
      </c>
      <c r="J476">
        <v>0.1</v>
      </c>
      <c r="K476" t="s">
        <v>55</v>
      </c>
      <c r="L476" t="s">
        <v>26</v>
      </c>
      <c r="M476" t="s">
        <v>211</v>
      </c>
      <c r="N476">
        <f>SalesTable[[#This Row],[الكمية]]*SalesTable[[#This Row],[سعر الوحدة]]</f>
        <v>150</v>
      </c>
      <c r="O476">
        <f>SalesTable[[#This Row],[الكمية]]*SalesTable[[#This Row],[سعر الوحدة]]*(1-SalesTable[[#This Row],[الخصم]])</f>
        <v>135</v>
      </c>
    </row>
    <row r="477" spans="1:15" x14ac:dyDescent="0.3">
      <c r="A477">
        <v>10476</v>
      </c>
      <c r="B477" t="s">
        <v>112</v>
      </c>
      <c r="C477" s="3">
        <v>46208</v>
      </c>
      <c r="D477" t="s">
        <v>53</v>
      </c>
      <c r="E477" t="s">
        <v>15</v>
      </c>
      <c r="F477" t="s">
        <v>87</v>
      </c>
      <c r="G477" t="s">
        <v>101</v>
      </c>
      <c r="H477">
        <v>3</v>
      </c>
      <c r="I477">
        <v>3200</v>
      </c>
      <c r="J477">
        <v>0.03</v>
      </c>
      <c r="K477" t="s">
        <v>18</v>
      </c>
      <c r="L477" t="s">
        <v>26</v>
      </c>
      <c r="M477" t="s">
        <v>179</v>
      </c>
      <c r="N477">
        <f>SalesTable[[#This Row],[الكمية]]*SalesTable[[#This Row],[سعر الوحدة]]</f>
        <v>9600</v>
      </c>
      <c r="O477">
        <f>SalesTable[[#This Row],[الكمية]]*SalesTable[[#This Row],[سعر الوحدة]]*(1-SalesTable[[#This Row],[الخصم]])</f>
        <v>9312</v>
      </c>
    </row>
    <row r="478" spans="1:15" x14ac:dyDescent="0.3">
      <c r="A478">
        <v>10477</v>
      </c>
      <c r="B478" t="s">
        <v>62</v>
      </c>
      <c r="C478" s="3">
        <v>46268</v>
      </c>
      <c r="D478" t="s">
        <v>40</v>
      </c>
      <c r="E478" t="s">
        <v>41</v>
      </c>
      <c r="F478" t="s">
        <v>49</v>
      </c>
      <c r="G478" t="s">
        <v>122</v>
      </c>
      <c r="H478">
        <v>2</v>
      </c>
      <c r="I478">
        <v>150</v>
      </c>
      <c r="J478">
        <v>7.0000000000000007E-2</v>
      </c>
      <c r="K478" t="s">
        <v>55</v>
      </c>
      <c r="L478" t="s">
        <v>26</v>
      </c>
      <c r="M478" t="s">
        <v>194</v>
      </c>
      <c r="N478">
        <f>SalesTable[[#This Row],[الكمية]]*SalesTable[[#This Row],[سعر الوحدة]]</f>
        <v>300</v>
      </c>
      <c r="O478">
        <f>SalesTable[[#This Row],[الكمية]]*SalesTable[[#This Row],[سعر الوحدة]]*(1-SalesTable[[#This Row],[الخصم]])</f>
        <v>279</v>
      </c>
    </row>
    <row r="479" spans="1:15" x14ac:dyDescent="0.3">
      <c r="A479">
        <v>10478</v>
      </c>
      <c r="B479" t="s">
        <v>94</v>
      </c>
      <c r="C479" s="3">
        <v>46105</v>
      </c>
      <c r="D479" t="s">
        <v>22</v>
      </c>
      <c r="E479" t="s">
        <v>23</v>
      </c>
      <c r="F479" t="s">
        <v>31</v>
      </c>
      <c r="G479" t="s">
        <v>54</v>
      </c>
      <c r="H479">
        <v>3</v>
      </c>
      <c r="I479">
        <v>25000</v>
      </c>
      <c r="J479">
        <v>0.1</v>
      </c>
      <c r="K479" t="s">
        <v>55</v>
      </c>
      <c r="L479" t="s">
        <v>19</v>
      </c>
      <c r="M479" t="s">
        <v>244</v>
      </c>
      <c r="N479">
        <f>SalesTable[[#This Row],[الكمية]]*SalesTable[[#This Row],[سعر الوحدة]]</f>
        <v>75000</v>
      </c>
      <c r="O479">
        <f>SalesTable[[#This Row],[الكمية]]*SalesTable[[#This Row],[سعر الوحدة]]*(1-SalesTable[[#This Row],[الخصم]])</f>
        <v>67500</v>
      </c>
    </row>
    <row r="480" spans="1:15" x14ac:dyDescent="0.3">
      <c r="A480">
        <v>10479</v>
      </c>
      <c r="B480" t="s">
        <v>21</v>
      </c>
      <c r="C480" s="3">
        <v>46230</v>
      </c>
      <c r="D480" t="s">
        <v>37</v>
      </c>
      <c r="E480" t="s">
        <v>23</v>
      </c>
      <c r="F480" t="s">
        <v>24</v>
      </c>
      <c r="G480" t="s">
        <v>73</v>
      </c>
      <c r="H480">
        <v>5</v>
      </c>
      <c r="I480">
        <v>32000</v>
      </c>
      <c r="J480">
        <v>0.03</v>
      </c>
      <c r="K480" t="s">
        <v>18</v>
      </c>
      <c r="L480" t="s">
        <v>34</v>
      </c>
      <c r="M480" t="s">
        <v>325</v>
      </c>
      <c r="N480">
        <f>SalesTable[[#This Row],[الكمية]]*SalesTable[[#This Row],[سعر الوحدة]]</f>
        <v>160000</v>
      </c>
      <c r="O480">
        <f>SalesTable[[#This Row],[الكمية]]*SalesTable[[#This Row],[سعر الوحدة]]*(1-SalesTable[[#This Row],[الخصم]])</f>
        <v>155200</v>
      </c>
    </row>
    <row r="481" spans="1:15" x14ac:dyDescent="0.3">
      <c r="A481">
        <v>10480</v>
      </c>
      <c r="B481" t="s">
        <v>112</v>
      </c>
      <c r="C481" s="3">
        <v>46135</v>
      </c>
      <c r="D481" t="s">
        <v>45</v>
      </c>
      <c r="E481" t="s">
        <v>46</v>
      </c>
      <c r="F481" t="s">
        <v>59</v>
      </c>
      <c r="G481" t="s">
        <v>75</v>
      </c>
      <c r="H481">
        <v>8</v>
      </c>
      <c r="I481">
        <v>1200</v>
      </c>
      <c r="J481">
        <v>7.0000000000000007E-2</v>
      </c>
      <c r="K481" t="s">
        <v>33</v>
      </c>
      <c r="L481" t="s">
        <v>26</v>
      </c>
      <c r="M481" t="s">
        <v>61</v>
      </c>
      <c r="N481">
        <f>SalesTable[[#This Row],[الكمية]]*SalesTable[[#This Row],[سعر الوحدة]]</f>
        <v>9600</v>
      </c>
      <c r="O481">
        <f>SalesTable[[#This Row],[الكمية]]*SalesTable[[#This Row],[سعر الوحدة]]*(1-SalesTable[[#This Row],[الخصم]])</f>
        <v>8928</v>
      </c>
    </row>
    <row r="482" spans="1:15" x14ac:dyDescent="0.3">
      <c r="A482">
        <v>10481</v>
      </c>
      <c r="B482" t="s">
        <v>67</v>
      </c>
      <c r="C482" s="3">
        <v>46255</v>
      </c>
      <c r="D482" t="s">
        <v>68</v>
      </c>
      <c r="E482" t="s">
        <v>46</v>
      </c>
      <c r="F482" t="s">
        <v>64</v>
      </c>
      <c r="G482" t="s">
        <v>107</v>
      </c>
      <c r="H482">
        <v>3</v>
      </c>
      <c r="I482">
        <v>1400</v>
      </c>
      <c r="J482">
        <v>0.15</v>
      </c>
      <c r="K482" t="s">
        <v>18</v>
      </c>
      <c r="L482" t="s">
        <v>26</v>
      </c>
      <c r="M482" t="s">
        <v>324</v>
      </c>
      <c r="N482">
        <f>SalesTable[[#This Row],[الكمية]]*SalesTable[[#This Row],[سعر الوحدة]]</f>
        <v>4200</v>
      </c>
      <c r="O482">
        <f>SalesTable[[#This Row],[الكمية]]*SalesTable[[#This Row],[سعر الوحدة]]*(1-SalesTable[[#This Row],[الخصم]])</f>
        <v>3570</v>
      </c>
    </row>
    <row r="483" spans="1:15" x14ac:dyDescent="0.3">
      <c r="A483">
        <v>10482</v>
      </c>
      <c r="B483" t="s">
        <v>21</v>
      </c>
      <c r="C483" s="3">
        <v>46281</v>
      </c>
      <c r="D483" t="s">
        <v>29</v>
      </c>
      <c r="E483" t="s">
        <v>30</v>
      </c>
      <c r="F483" t="s">
        <v>64</v>
      </c>
      <c r="G483" t="s">
        <v>71</v>
      </c>
      <c r="H483">
        <v>1</v>
      </c>
      <c r="I483">
        <v>7500</v>
      </c>
      <c r="J483">
        <v>0.03</v>
      </c>
      <c r="K483" t="s">
        <v>33</v>
      </c>
      <c r="L483" t="s">
        <v>26</v>
      </c>
      <c r="M483" t="s">
        <v>310</v>
      </c>
      <c r="N483">
        <f>SalesTable[[#This Row],[الكمية]]*SalesTable[[#This Row],[سعر الوحدة]]</f>
        <v>7500</v>
      </c>
      <c r="O483">
        <f>SalesTable[[#This Row],[الكمية]]*SalesTable[[#This Row],[سعر الوحدة]]*(1-SalesTable[[#This Row],[الخصم]])</f>
        <v>7275</v>
      </c>
    </row>
    <row r="484" spans="1:15" x14ac:dyDescent="0.3">
      <c r="A484">
        <v>10483</v>
      </c>
      <c r="B484" t="s">
        <v>21</v>
      </c>
      <c r="C484" s="3">
        <v>46280</v>
      </c>
      <c r="D484" t="s">
        <v>37</v>
      </c>
      <c r="E484" t="s">
        <v>23</v>
      </c>
      <c r="F484" t="s">
        <v>59</v>
      </c>
      <c r="G484" t="s">
        <v>75</v>
      </c>
      <c r="H484">
        <v>10</v>
      </c>
      <c r="I484">
        <v>32000</v>
      </c>
      <c r="J484">
        <v>0</v>
      </c>
      <c r="K484" t="s">
        <v>18</v>
      </c>
      <c r="L484" t="s">
        <v>19</v>
      </c>
      <c r="M484" t="s">
        <v>326</v>
      </c>
      <c r="N484">
        <f>SalesTable[[#This Row],[الكمية]]*SalesTable[[#This Row],[سعر الوحدة]]</f>
        <v>320000</v>
      </c>
      <c r="O484">
        <f>SalesTable[[#This Row],[الكمية]]*SalesTable[[#This Row],[سعر الوحدة]]*(1-SalesTable[[#This Row],[الخصم]])</f>
        <v>320000</v>
      </c>
    </row>
    <row r="485" spans="1:15" x14ac:dyDescent="0.3">
      <c r="A485">
        <v>10484</v>
      </c>
      <c r="B485" t="s">
        <v>36</v>
      </c>
      <c r="C485" s="3">
        <v>46212</v>
      </c>
      <c r="D485" t="s">
        <v>14</v>
      </c>
      <c r="E485" t="s">
        <v>15</v>
      </c>
      <c r="F485" t="s">
        <v>64</v>
      </c>
      <c r="G485" t="s">
        <v>71</v>
      </c>
      <c r="H485">
        <v>7</v>
      </c>
      <c r="I485">
        <v>650</v>
      </c>
      <c r="J485">
        <v>0.1</v>
      </c>
      <c r="K485" t="s">
        <v>18</v>
      </c>
      <c r="L485" t="s">
        <v>47</v>
      </c>
      <c r="M485" t="s">
        <v>177</v>
      </c>
      <c r="N485">
        <f>SalesTable[[#This Row],[الكمية]]*SalesTable[[#This Row],[سعر الوحدة]]</f>
        <v>4550</v>
      </c>
      <c r="O485">
        <f>SalesTable[[#This Row],[الكمية]]*SalesTable[[#This Row],[سعر الوحدة]]*(1-SalesTable[[#This Row],[الخصم]])</f>
        <v>4095</v>
      </c>
    </row>
    <row r="486" spans="1:15" x14ac:dyDescent="0.3">
      <c r="A486">
        <v>10485</v>
      </c>
      <c r="B486" t="s">
        <v>94</v>
      </c>
      <c r="C486" s="3">
        <v>46073</v>
      </c>
      <c r="D486" t="s">
        <v>40</v>
      </c>
      <c r="E486" t="s">
        <v>41</v>
      </c>
      <c r="F486" t="s">
        <v>59</v>
      </c>
      <c r="G486" t="s">
        <v>105</v>
      </c>
      <c r="H486">
        <v>6</v>
      </c>
      <c r="I486">
        <v>150</v>
      </c>
      <c r="J486">
        <v>0.1</v>
      </c>
      <c r="K486" t="s">
        <v>33</v>
      </c>
      <c r="L486" t="s">
        <v>26</v>
      </c>
      <c r="M486" t="s">
        <v>173</v>
      </c>
      <c r="N486">
        <f>SalesTable[[#This Row],[الكمية]]*SalesTable[[#This Row],[سعر الوحدة]]</f>
        <v>900</v>
      </c>
      <c r="O486">
        <f>SalesTable[[#This Row],[الكمية]]*SalesTable[[#This Row],[سعر الوحدة]]*(1-SalesTable[[#This Row],[الخصم]])</f>
        <v>810</v>
      </c>
    </row>
    <row r="487" spans="1:15" x14ac:dyDescent="0.3">
      <c r="A487">
        <v>10486</v>
      </c>
      <c r="B487" t="s">
        <v>21</v>
      </c>
      <c r="C487" s="3">
        <v>46232</v>
      </c>
      <c r="D487" t="s">
        <v>48</v>
      </c>
      <c r="E487" t="s">
        <v>30</v>
      </c>
      <c r="F487" t="s">
        <v>31</v>
      </c>
      <c r="G487" t="s">
        <v>54</v>
      </c>
      <c r="H487">
        <v>5</v>
      </c>
      <c r="I487">
        <v>9000</v>
      </c>
      <c r="J487">
        <v>0.1</v>
      </c>
      <c r="K487" t="s">
        <v>38</v>
      </c>
      <c r="L487" t="s">
        <v>26</v>
      </c>
      <c r="M487" t="s">
        <v>327</v>
      </c>
      <c r="N487">
        <f>SalesTable[[#This Row],[الكمية]]*SalesTable[[#This Row],[سعر الوحدة]]</f>
        <v>45000</v>
      </c>
      <c r="O487">
        <f>SalesTable[[#This Row],[الكمية]]*SalesTable[[#This Row],[سعر الوحدة]]*(1-SalesTable[[#This Row],[الخصم]])</f>
        <v>40500</v>
      </c>
    </row>
    <row r="488" spans="1:15" x14ac:dyDescent="0.3">
      <c r="A488">
        <v>10487</v>
      </c>
      <c r="B488" t="s">
        <v>36</v>
      </c>
      <c r="C488" s="3">
        <v>46358</v>
      </c>
      <c r="D488" t="s">
        <v>81</v>
      </c>
      <c r="E488" t="s">
        <v>41</v>
      </c>
      <c r="F488" t="s">
        <v>24</v>
      </c>
      <c r="G488" t="s">
        <v>25</v>
      </c>
      <c r="H488">
        <v>9</v>
      </c>
      <c r="I488">
        <v>2200</v>
      </c>
      <c r="J488">
        <v>0</v>
      </c>
      <c r="K488" t="s">
        <v>55</v>
      </c>
      <c r="L488" t="s">
        <v>34</v>
      </c>
      <c r="M488" t="s">
        <v>154</v>
      </c>
      <c r="N488">
        <f>SalesTable[[#This Row],[الكمية]]*SalesTable[[#This Row],[سعر الوحدة]]</f>
        <v>19800</v>
      </c>
      <c r="O488">
        <f>SalesTable[[#This Row],[الكمية]]*SalesTable[[#This Row],[سعر الوحدة]]*(1-SalesTable[[#This Row],[الخصم]])</f>
        <v>19800</v>
      </c>
    </row>
    <row r="489" spans="1:15" x14ac:dyDescent="0.3">
      <c r="A489">
        <v>10488</v>
      </c>
      <c r="B489" t="s">
        <v>94</v>
      </c>
      <c r="C489" s="3">
        <v>46152</v>
      </c>
      <c r="D489" t="s">
        <v>70</v>
      </c>
      <c r="E489" t="s">
        <v>46</v>
      </c>
      <c r="F489" t="s">
        <v>16</v>
      </c>
      <c r="G489" t="s">
        <v>96</v>
      </c>
      <c r="H489">
        <v>7</v>
      </c>
      <c r="I489">
        <v>1800</v>
      </c>
      <c r="J489">
        <v>0.15</v>
      </c>
      <c r="K489" t="s">
        <v>38</v>
      </c>
      <c r="L489" t="s">
        <v>47</v>
      </c>
      <c r="M489" t="s">
        <v>195</v>
      </c>
      <c r="N489">
        <f>SalesTable[[#This Row],[الكمية]]*SalesTable[[#This Row],[سعر الوحدة]]</f>
        <v>12600</v>
      </c>
      <c r="O489">
        <f>SalesTable[[#This Row],[الكمية]]*SalesTable[[#This Row],[سعر الوحدة]]*(1-SalesTable[[#This Row],[الخصم]])</f>
        <v>10710</v>
      </c>
    </row>
    <row r="490" spans="1:15" x14ac:dyDescent="0.3">
      <c r="A490">
        <v>10489</v>
      </c>
      <c r="B490" t="s">
        <v>36</v>
      </c>
      <c r="C490" s="3">
        <v>46305</v>
      </c>
      <c r="D490" t="s">
        <v>70</v>
      </c>
      <c r="E490" t="s">
        <v>46</v>
      </c>
      <c r="F490" t="s">
        <v>87</v>
      </c>
      <c r="G490" t="s">
        <v>103</v>
      </c>
      <c r="H490">
        <v>7</v>
      </c>
      <c r="I490">
        <v>1800</v>
      </c>
      <c r="J490">
        <v>0.03</v>
      </c>
      <c r="K490" t="s">
        <v>33</v>
      </c>
      <c r="L490" t="s">
        <v>26</v>
      </c>
      <c r="M490" t="s">
        <v>140</v>
      </c>
      <c r="N490">
        <f>SalesTable[[#This Row],[الكمية]]*SalesTable[[#This Row],[سعر الوحدة]]</f>
        <v>12600</v>
      </c>
      <c r="O490">
        <f>SalesTable[[#This Row],[الكمية]]*SalesTable[[#This Row],[سعر الوحدة]]*(1-SalesTable[[#This Row],[الخصم]])</f>
        <v>12222</v>
      </c>
    </row>
    <row r="491" spans="1:15" x14ac:dyDescent="0.3">
      <c r="A491">
        <v>10490</v>
      </c>
      <c r="B491" t="s">
        <v>67</v>
      </c>
      <c r="C491" s="3">
        <v>46384</v>
      </c>
      <c r="D491" t="s">
        <v>53</v>
      </c>
      <c r="E491" t="s">
        <v>15</v>
      </c>
      <c r="F491" t="s">
        <v>59</v>
      </c>
      <c r="G491" t="s">
        <v>105</v>
      </c>
      <c r="H491">
        <v>5</v>
      </c>
      <c r="I491">
        <v>3200</v>
      </c>
      <c r="J491">
        <v>0.1</v>
      </c>
      <c r="K491" t="s">
        <v>33</v>
      </c>
      <c r="L491" t="s">
        <v>26</v>
      </c>
      <c r="M491" t="s">
        <v>151</v>
      </c>
      <c r="N491">
        <f>SalesTable[[#This Row],[الكمية]]*SalesTable[[#This Row],[سعر الوحدة]]</f>
        <v>16000</v>
      </c>
      <c r="O491">
        <f>SalesTable[[#This Row],[الكمية]]*SalesTable[[#This Row],[سعر الوحدة]]*(1-SalesTable[[#This Row],[الخصم]])</f>
        <v>14400</v>
      </c>
    </row>
    <row r="492" spans="1:15" x14ac:dyDescent="0.3">
      <c r="A492">
        <v>10491</v>
      </c>
      <c r="B492" t="s">
        <v>13</v>
      </c>
      <c r="C492" s="3">
        <v>46283</v>
      </c>
      <c r="D492" t="s">
        <v>81</v>
      </c>
      <c r="E492" t="s">
        <v>41</v>
      </c>
      <c r="F492" t="s">
        <v>31</v>
      </c>
      <c r="G492" t="s">
        <v>32</v>
      </c>
      <c r="H492">
        <v>3</v>
      </c>
      <c r="I492">
        <v>2200</v>
      </c>
      <c r="J492">
        <v>0</v>
      </c>
      <c r="K492" t="s">
        <v>33</v>
      </c>
      <c r="L492" t="s">
        <v>34</v>
      </c>
      <c r="M492" t="s">
        <v>328</v>
      </c>
      <c r="N492">
        <f>SalesTable[[#This Row],[الكمية]]*SalesTable[[#This Row],[سعر الوحدة]]</f>
        <v>6600</v>
      </c>
      <c r="O492">
        <f>SalesTable[[#This Row],[الكمية]]*SalesTable[[#This Row],[سعر الوحدة]]*(1-SalesTable[[#This Row],[الخصم]])</f>
        <v>6600</v>
      </c>
    </row>
    <row r="493" spans="1:15" x14ac:dyDescent="0.3">
      <c r="A493">
        <v>10492</v>
      </c>
      <c r="B493" t="s">
        <v>28</v>
      </c>
      <c r="C493" s="3">
        <v>46069</v>
      </c>
      <c r="D493" t="s">
        <v>95</v>
      </c>
      <c r="E493" t="s">
        <v>15</v>
      </c>
      <c r="F493" t="s">
        <v>24</v>
      </c>
      <c r="G493" t="s">
        <v>73</v>
      </c>
      <c r="H493">
        <v>7</v>
      </c>
      <c r="I493">
        <v>5200</v>
      </c>
      <c r="J493">
        <v>0.15</v>
      </c>
      <c r="K493" t="s">
        <v>55</v>
      </c>
      <c r="L493" t="s">
        <v>47</v>
      </c>
      <c r="M493" t="s">
        <v>118</v>
      </c>
      <c r="N493">
        <f>SalesTable[[#This Row],[الكمية]]*SalesTable[[#This Row],[سعر الوحدة]]</f>
        <v>36400</v>
      </c>
      <c r="O493">
        <f>SalesTable[[#This Row],[الكمية]]*SalesTable[[#This Row],[سعر الوحدة]]*(1-SalesTable[[#This Row],[الخصم]])</f>
        <v>30940</v>
      </c>
    </row>
    <row r="494" spans="1:15" x14ac:dyDescent="0.3">
      <c r="A494">
        <v>10493</v>
      </c>
      <c r="B494" t="s">
        <v>44</v>
      </c>
      <c r="C494" s="3">
        <v>46334</v>
      </c>
      <c r="D494" t="s">
        <v>104</v>
      </c>
      <c r="E494" t="s">
        <v>23</v>
      </c>
      <c r="F494" t="s">
        <v>16</v>
      </c>
      <c r="G494" t="s">
        <v>79</v>
      </c>
      <c r="H494">
        <v>4</v>
      </c>
      <c r="I494">
        <v>28000</v>
      </c>
      <c r="J494">
        <v>0.05</v>
      </c>
      <c r="K494" t="s">
        <v>18</v>
      </c>
      <c r="L494" t="s">
        <v>47</v>
      </c>
      <c r="M494" t="s">
        <v>89</v>
      </c>
      <c r="N494">
        <f>SalesTable[[#This Row],[الكمية]]*SalesTable[[#This Row],[سعر الوحدة]]</f>
        <v>112000</v>
      </c>
      <c r="O494">
        <f>SalesTable[[#This Row],[الكمية]]*SalesTable[[#This Row],[سعر الوحدة]]*(1-SalesTable[[#This Row],[الخصم]])</f>
        <v>106400</v>
      </c>
    </row>
    <row r="495" spans="1:15" x14ac:dyDescent="0.3">
      <c r="A495">
        <v>10494</v>
      </c>
      <c r="B495" t="s">
        <v>112</v>
      </c>
      <c r="C495" s="3">
        <v>46350</v>
      </c>
      <c r="D495" t="s">
        <v>95</v>
      </c>
      <c r="E495" t="s">
        <v>15</v>
      </c>
      <c r="F495" t="s">
        <v>87</v>
      </c>
      <c r="G495" t="s">
        <v>103</v>
      </c>
      <c r="H495">
        <v>10</v>
      </c>
      <c r="I495">
        <v>5200</v>
      </c>
      <c r="J495">
        <v>0</v>
      </c>
      <c r="K495" t="s">
        <v>33</v>
      </c>
      <c r="L495" t="s">
        <v>47</v>
      </c>
      <c r="M495" t="s">
        <v>329</v>
      </c>
      <c r="N495">
        <f>SalesTable[[#This Row],[الكمية]]*SalesTable[[#This Row],[سعر الوحدة]]</f>
        <v>52000</v>
      </c>
      <c r="O495">
        <f>SalesTable[[#This Row],[الكمية]]*SalesTable[[#This Row],[سعر الوحدة]]*(1-SalesTable[[#This Row],[الخصم]])</f>
        <v>52000</v>
      </c>
    </row>
    <row r="496" spans="1:15" x14ac:dyDescent="0.3">
      <c r="A496">
        <v>10495</v>
      </c>
      <c r="B496" t="s">
        <v>21</v>
      </c>
      <c r="C496" s="3">
        <v>46287</v>
      </c>
      <c r="D496" t="s">
        <v>45</v>
      </c>
      <c r="E496" t="s">
        <v>46</v>
      </c>
      <c r="F496" t="s">
        <v>87</v>
      </c>
      <c r="G496" t="s">
        <v>101</v>
      </c>
      <c r="H496">
        <v>1</v>
      </c>
      <c r="I496">
        <v>1200</v>
      </c>
      <c r="J496">
        <v>0.1</v>
      </c>
      <c r="K496" t="s">
        <v>55</v>
      </c>
      <c r="L496" t="s">
        <v>26</v>
      </c>
      <c r="M496" t="s">
        <v>330</v>
      </c>
      <c r="N496">
        <f>SalesTable[[#This Row],[الكمية]]*SalesTable[[#This Row],[سعر الوحدة]]</f>
        <v>1200</v>
      </c>
      <c r="O496">
        <f>SalesTable[[#This Row],[الكمية]]*SalesTable[[#This Row],[سعر الوحدة]]*(1-SalesTable[[#This Row],[الخصم]])</f>
        <v>1080</v>
      </c>
    </row>
    <row r="497" spans="1:15" x14ac:dyDescent="0.3">
      <c r="A497">
        <v>10496</v>
      </c>
      <c r="B497" t="s">
        <v>44</v>
      </c>
      <c r="C497" s="3">
        <v>46164</v>
      </c>
      <c r="D497" t="s">
        <v>70</v>
      </c>
      <c r="E497" t="s">
        <v>46</v>
      </c>
      <c r="F497" t="s">
        <v>31</v>
      </c>
      <c r="G497" t="s">
        <v>77</v>
      </c>
      <c r="H497">
        <v>1</v>
      </c>
      <c r="I497">
        <v>1800</v>
      </c>
      <c r="J497">
        <v>0.03</v>
      </c>
      <c r="K497" t="s">
        <v>33</v>
      </c>
      <c r="L497" t="s">
        <v>34</v>
      </c>
      <c r="M497" t="s">
        <v>323</v>
      </c>
      <c r="N497">
        <f>SalesTable[[#This Row],[الكمية]]*SalesTable[[#This Row],[سعر الوحدة]]</f>
        <v>1800</v>
      </c>
      <c r="O497">
        <f>SalesTable[[#This Row],[الكمية]]*SalesTable[[#This Row],[سعر الوحدة]]*(1-SalesTable[[#This Row],[الخصم]])</f>
        <v>1746</v>
      </c>
    </row>
    <row r="498" spans="1:15" x14ac:dyDescent="0.3">
      <c r="A498">
        <v>10497</v>
      </c>
      <c r="B498" t="s">
        <v>44</v>
      </c>
      <c r="C498" s="3">
        <v>46069</v>
      </c>
      <c r="D498" t="s">
        <v>29</v>
      </c>
      <c r="E498" t="s">
        <v>30</v>
      </c>
      <c r="F498" t="s">
        <v>31</v>
      </c>
      <c r="G498" t="s">
        <v>77</v>
      </c>
      <c r="H498">
        <v>1</v>
      </c>
      <c r="I498">
        <v>7500</v>
      </c>
      <c r="J498">
        <v>0.15</v>
      </c>
      <c r="K498" t="s">
        <v>38</v>
      </c>
      <c r="L498" t="s">
        <v>34</v>
      </c>
      <c r="M498" t="s">
        <v>318</v>
      </c>
      <c r="N498">
        <f>SalesTable[[#This Row],[الكمية]]*SalesTable[[#This Row],[سعر الوحدة]]</f>
        <v>7500</v>
      </c>
      <c r="O498">
        <f>SalesTable[[#This Row],[الكمية]]*SalesTable[[#This Row],[سعر الوحدة]]*(1-SalesTable[[#This Row],[الخصم]])</f>
        <v>6375</v>
      </c>
    </row>
    <row r="499" spans="1:15" x14ac:dyDescent="0.3">
      <c r="A499">
        <v>10498</v>
      </c>
      <c r="B499" t="s">
        <v>62</v>
      </c>
      <c r="C499" s="3">
        <v>46229</v>
      </c>
      <c r="D499" t="s">
        <v>68</v>
      </c>
      <c r="E499" t="s">
        <v>46</v>
      </c>
      <c r="F499" t="s">
        <v>87</v>
      </c>
      <c r="G499" t="s">
        <v>101</v>
      </c>
      <c r="H499">
        <v>10</v>
      </c>
      <c r="I499">
        <v>1400</v>
      </c>
      <c r="J499">
        <v>0.03</v>
      </c>
      <c r="K499" t="s">
        <v>18</v>
      </c>
      <c r="L499" t="s">
        <v>34</v>
      </c>
      <c r="M499" t="s">
        <v>187</v>
      </c>
      <c r="N499">
        <f>SalesTable[[#This Row],[الكمية]]*SalesTable[[#This Row],[سعر الوحدة]]</f>
        <v>14000</v>
      </c>
      <c r="O499">
        <f>SalesTable[[#This Row],[الكمية]]*SalesTable[[#This Row],[سعر الوحدة]]*(1-SalesTable[[#This Row],[الخصم]])</f>
        <v>13580</v>
      </c>
    </row>
    <row r="500" spans="1:15" x14ac:dyDescent="0.3">
      <c r="A500">
        <v>10499</v>
      </c>
      <c r="B500" t="s">
        <v>67</v>
      </c>
      <c r="C500" s="3">
        <v>46082</v>
      </c>
      <c r="D500" t="s">
        <v>29</v>
      </c>
      <c r="E500" t="s">
        <v>30</v>
      </c>
      <c r="F500" t="s">
        <v>16</v>
      </c>
      <c r="G500" t="s">
        <v>17</v>
      </c>
      <c r="H500">
        <v>9</v>
      </c>
      <c r="I500">
        <v>7500</v>
      </c>
      <c r="J500">
        <v>0.05</v>
      </c>
      <c r="K500" t="s">
        <v>38</v>
      </c>
      <c r="L500" t="s">
        <v>34</v>
      </c>
      <c r="M500" t="s">
        <v>152</v>
      </c>
      <c r="N500">
        <f>SalesTable[[#This Row],[الكمية]]*SalesTable[[#This Row],[سعر الوحدة]]</f>
        <v>67500</v>
      </c>
      <c r="O500">
        <f>SalesTable[[#This Row],[الكمية]]*SalesTable[[#This Row],[سعر الوحدة]]*(1-SalesTable[[#This Row],[الخصم]])</f>
        <v>64125</v>
      </c>
    </row>
    <row r="501" spans="1:15" x14ac:dyDescent="0.3">
      <c r="A501">
        <v>10500</v>
      </c>
      <c r="B501" t="s">
        <v>62</v>
      </c>
      <c r="C501" s="3">
        <v>46323</v>
      </c>
      <c r="D501" t="s">
        <v>29</v>
      </c>
      <c r="E501" t="s">
        <v>30</v>
      </c>
      <c r="F501" t="s">
        <v>59</v>
      </c>
      <c r="G501" t="s">
        <v>60</v>
      </c>
      <c r="H501">
        <v>6</v>
      </c>
      <c r="I501">
        <v>7500</v>
      </c>
      <c r="J501">
        <v>7.0000000000000007E-2</v>
      </c>
      <c r="K501" t="s">
        <v>18</v>
      </c>
      <c r="L501" t="s">
        <v>47</v>
      </c>
      <c r="M501" t="s">
        <v>331</v>
      </c>
      <c r="N501">
        <f>SalesTable[[#This Row],[الكمية]]*SalesTable[[#This Row],[سعر الوحدة]]</f>
        <v>45000</v>
      </c>
      <c r="O501">
        <f>SalesTable[[#This Row],[الكمية]]*SalesTable[[#This Row],[سعر الوحدة]]*(1-SalesTable[[#This Row],[الخصم]])</f>
        <v>41850</v>
      </c>
    </row>
    <row r="502" spans="1:15" x14ac:dyDescent="0.3">
      <c r="A502">
        <v>10501</v>
      </c>
      <c r="B502" t="s">
        <v>13</v>
      </c>
      <c r="C502" s="3">
        <v>46184</v>
      </c>
      <c r="D502" t="s">
        <v>110</v>
      </c>
      <c r="E502" t="s">
        <v>46</v>
      </c>
      <c r="F502" t="s">
        <v>16</v>
      </c>
      <c r="G502" t="s">
        <v>189</v>
      </c>
      <c r="H502">
        <v>4</v>
      </c>
      <c r="I502">
        <v>450</v>
      </c>
      <c r="J502">
        <v>0.15</v>
      </c>
      <c r="K502" t="s">
        <v>33</v>
      </c>
      <c r="L502" t="s">
        <v>34</v>
      </c>
      <c r="M502" t="s">
        <v>332</v>
      </c>
      <c r="N502">
        <f>SalesTable[[#This Row],[الكمية]]*SalesTable[[#This Row],[سعر الوحدة]]</f>
        <v>1800</v>
      </c>
      <c r="O502">
        <f>SalesTable[[#This Row],[الكمية]]*SalesTable[[#This Row],[سعر الوحدة]]*(1-SalesTable[[#This Row],[الخصم]])</f>
        <v>1530</v>
      </c>
    </row>
    <row r="503" spans="1:15" x14ac:dyDescent="0.3">
      <c r="A503">
        <v>10502</v>
      </c>
      <c r="B503" t="s">
        <v>44</v>
      </c>
      <c r="C503" s="3">
        <v>46227</v>
      </c>
      <c r="D503" t="s">
        <v>53</v>
      </c>
      <c r="E503" t="s">
        <v>15</v>
      </c>
      <c r="F503" t="s">
        <v>24</v>
      </c>
      <c r="G503" t="s">
        <v>57</v>
      </c>
      <c r="H503">
        <v>4</v>
      </c>
      <c r="I503">
        <v>3200</v>
      </c>
      <c r="J503">
        <v>0.05</v>
      </c>
      <c r="K503" t="s">
        <v>38</v>
      </c>
      <c r="L503" t="s">
        <v>19</v>
      </c>
      <c r="M503" t="s">
        <v>66</v>
      </c>
      <c r="N503">
        <f>SalesTable[[#This Row],[الكمية]]*SalesTable[[#This Row],[سعر الوحدة]]</f>
        <v>12800</v>
      </c>
      <c r="O503">
        <f>SalesTable[[#This Row],[الكمية]]*SalesTable[[#This Row],[سعر الوحدة]]*(1-SalesTable[[#This Row],[الخصم]])</f>
        <v>12160</v>
      </c>
    </row>
    <row r="504" spans="1:15" x14ac:dyDescent="0.3">
      <c r="A504">
        <v>10503</v>
      </c>
      <c r="B504" t="s">
        <v>13</v>
      </c>
      <c r="C504" s="3">
        <v>46316</v>
      </c>
      <c r="D504" t="s">
        <v>90</v>
      </c>
      <c r="E504" t="s">
        <v>91</v>
      </c>
      <c r="F504" t="s">
        <v>64</v>
      </c>
      <c r="G504" t="s">
        <v>65</v>
      </c>
      <c r="H504">
        <v>6</v>
      </c>
      <c r="I504">
        <v>6500</v>
      </c>
      <c r="J504">
        <v>0.05</v>
      </c>
      <c r="K504" t="s">
        <v>38</v>
      </c>
      <c r="L504" t="s">
        <v>26</v>
      </c>
      <c r="M504" t="s">
        <v>333</v>
      </c>
      <c r="N504">
        <f>SalesTable[[#This Row],[الكمية]]*SalesTable[[#This Row],[سعر الوحدة]]</f>
        <v>39000</v>
      </c>
      <c r="O504">
        <f>SalesTable[[#This Row],[الكمية]]*SalesTable[[#This Row],[سعر الوحدة]]*(1-SalesTable[[#This Row],[الخصم]])</f>
        <v>37050</v>
      </c>
    </row>
    <row r="505" spans="1:15" x14ac:dyDescent="0.3">
      <c r="A505">
        <v>10504</v>
      </c>
      <c r="B505" t="s">
        <v>13</v>
      </c>
      <c r="C505" s="3">
        <v>46140</v>
      </c>
      <c r="D505" t="s">
        <v>48</v>
      </c>
      <c r="E505" t="s">
        <v>30</v>
      </c>
      <c r="F505" t="s">
        <v>31</v>
      </c>
      <c r="G505" t="s">
        <v>54</v>
      </c>
      <c r="H505">
        <v>4</v>
      </c>
      <c r="I505">
        <v>9000</v>
      </c>
      <c r="J505">
        <v>0.05</v>
      </c>
      <c r="K505" t="s">
        <v>55</v>
      </c>
      <c r="L505" t="s">
        <v>26</v>
      </c>
      <c r="M505" t="s">
        <v>221</v>
      </c>
      <c r="N505">
        <f>SalesTable[[#This Row],[الكمية]]*SalesTable[[#This Row],[سعر الوحدة]]</f>
        <v>36000</v>
      </c>
      <c r="O505">
        <f>SalesTable[[#This Row],[الكمية]]*SalesTable[[#This Row],[سعر الوحدة]]*(1-SalesTable[[#This Row],[الخصم]])</f>
        <v>34200</v>
      </c>
    </row>
    <row r="506" spans="1:15" x14ac:dyDescent="0.3">
      <c r="A506">
        <v>10505</v>
      </c>
      <c r="B506" t="s">
        <v>62</v>
      </c>
      <c r="C506" s="3">
        <v>46337</v>
      </c>
      <c r="D506" t="s">
        <v>37</v>
      </c>
      <c r="E506" t="s">
        <v>23</v>
      </c>
      <c r="F506" t="s">
        <v>16</v>
      </c>
      <c r="G506" t="s">
        <v>17</v>
      </c>
      <c r="H506">
        <v>2</v>
      </c>
      <c r="I506">
        <v>32000</v>
      </c>
      <c r="J506">
        <v>0.15</v>
      </c>
      <c r="K506" t="s">
        <v>18</v>
      </c>
      <c r="L506" t="s">
        <v>19</v>
      </c>
      <c r="M506" t="s">
        <v>326</v>
      </c>
      <c r="N506">
        <f>SalesTable[[#This Row],[الكمية]]*SalesTable[[#This Row],[سعر الوحدة]]</f>
        <v>64000</v>
      </c>
      <c r="O506">
        <f>SalesTable[[#This Row],[الكمية]]*SalesTable[[#This Row],[سعر الوحدة]]*(1-SalesTable[[#This Row],[الخصم]])</f>
        <v>54400</v>
      </c>
    </row>
    <row r="507" spans="1:15" x14ac:dyDescent="0.3">
      <c r="A507">
        <v>10506</v>
      </c>
      <c r="B507" t="s">
        <v>62</v>
      </c>
      <c r="C507" s="3">
        <v>46116</v>
      </c>
      <c r="D507" t="s">
        <v>70</v>
      </c>
      <c r="E507" t="s">
        <v>46</v>
      </c>
      <c r="F507" t="s">
        <v>49</v>
      </c>
      <c r="G507" t="s">
        <v>98</v>
      </c>
      <c r="H507">
        <v>10</v>
      </c>
      <c r="I507">
        <v>1800</v>
      </c>
      <c r="J507">
        <v>0.05</v>
      </c>
      <c r="K507" t="s">
        <v>38</v>
      </c>
      <c r="L507" t="s">
        <v>47</v>
      </c>
      <c r="M507" t="s">
        <v>309</v>
      </c>
      <c r="N507">
        <f>SalesTable[[#This Row],[الكمية]]*SalesTable[[#This Row],[سعر الوحدة]]</f>
        <v>18000</v>
      </c>
      <c r="O507">
        <f>SalesTable[[#This Row],[الكمية]]*SalesTable[[#This Row],[سعر الوحدة]]*(1-SalesTable[[#This Row],[الخصم]])</f>
        <v>17100</v>
      </c>
    </row>
    <row r="508" spans="1:15" x14ac:dyDescent="0.3">
      <c r="A508">
        <v>10507</v>
      </c>
      <c r="B508" t="s">
        <v>62</v>
      </c>
      <c r="C508" s="3">
        <v>46299</v>
      </c>
      <c r="D508" t="s">
        <v>40</v>
      </c>
      <c r="E508" t="s">
        <v>41</v>
      </c>
      <c r="F508" t="s">
        <v>64</v>
      </c>
      <c r="G508" t="s">
        <v>71</v>
      </c>
      <c r="H508">
        <v>9</v>
      </c>
      <c r="I508">
        <v>150</v>
      </c>
      <c r="J508">
        <v>7.0000000000000007E-2</v>
      </c>
      <c r="K508" t="s">
        <v>18</v>
      </c>
      <c r="L508" t="s">
        <v>34</v>
      </c>
      <c r="M508" t="s">
        <v>334</v>
      </c>
      <c r="N508">
        <f>SalesTable[[#This Row],[الكمية]]*SalesTable[[#This Row],[سعر الوحدة]]</f>
        <v>1350</v>
      </c>
      <c r="O508">
        <f>SalesTable[[#This Row],[الكمية]]*SalesTable[[#This Row],[سعر الوحدة]]*(1-SalesTable[[#This Row],[الخصم]])</f>
        <v>1255.5</v>
      </c>
    </row>
    <row r="509" spans="1:15" x14ac:dyDescent="0.3">
      <c r="A509">
        <v>10508</v>
      </c>
      <c r="B509" t="s">
        <v>21</v>
      </c>
      <c r="C509" s="3">
        <v>46258</v>
      </c>
      <c r="D509" t="s">
        <v>68</v>
      </c>
      <c r="E509" t="s">
        <v>46</v>
      </c>
      <c r="F509" t="s">
        <v>64</v>
      </c>
      <c r="G509" t="s">
        <v>65</v>
      </c>
      <c r="H509">
        <v>2</v>
      </c>
      <c r="I509">
        <v>1400</v>
      </c>
      <c r="J509">
        <v>0.15</v>
      </c>
      <c r="K509" t="s">
        <v>38</v>
      </c>
      <c r="L509" t="s">
        <v>19</v>
      </c>
      <c r="M509" t="s">
        <v>265</v>
      </c>
      <c r="N509">
        <f>SalesTable[[#This Row],[الكمية]]*SalesTable[[#This Row],[سعر الوحدة]]</f>
        <v>2800</v>
      </c>
      <c r="O509">
        <f>SalesTable[[#This Row],[الكمية]]*SalesTable[[#This Row],[سعر الوحدة]]*(1-SalesTable[[#This Row],[الخصم]])</f>
        <v>2380</v>
      </c>
    </row>
    <row r="510" spans="1:15" x14ac:dyDescent="0.3">
      <c r="A510">
        <v>10509</v>
      </c>
      <c r="B510" t="s">
        <v>67</v>
      </c>
      <c r="C510" s="3">
        <v>46208</v>
      </c>
      <c r="D510" t="s">
        <v>14</v>
      </c>
      <c r="E510" t="s">
        <v>15</v>
      </c>
      <c r="F510" t="s">
        <v>31</v>
      </c>
      <c r="G510" t="s">
        <v>32</v>
      </c>
      <c r="H510">
        <v>10</v>
      </c>
      <c r="I510">
        <v>650</v>
      </c>
      <c r="J510">
        <v>0</v>
      </c>
      <c r="K510" t="s">
        <v>38</v>
      </c>
      <c r="L510" t="s">
        <v>26</v>
      </c>
      <c r="M510" t="s">
        <v>335</v>
      </c>
      <c r="N510">
        <f>SalesTable[[#This Row],[الكمية]]*SalesTable[[#This Row],[سعر الوحدة]]</f>
        <v>6500</v>
      </c>
      <c r="O510">
        <f>SalesTable[[#This Row],[الكمية]]*SalesTable[[#This Row],[سعر الوحدة]]*(1-SalesTable[[#This Row],[الخصم]])</f>
        <v>6500</v>
      </c>
    </row>
    <row r="511" spans="1:15" x14ac:dyDescent="0.3">
      <c r="A511">
        <v>10510</v>
      </c>
      <c r="B511" t="s">
        <v>67</v>
      </c>
      <c r="C511" s="3">
        <v>46210</v>
      </c>
      <c r="D511" t="s">
        <v>110</v>
      </c>
      <c r="E511" t="s">
        <v>46</v>
      </c>
      <c r="F511" t="s">
        <v>31</v>
      </c>
      <c r="G511" t="s">
        <v>32</v>
      </c>
      <c r="H511">
        <v>8</v>
      </c>
      <c r="I511">
        <v>450</v>
      </c>
      <c r="J511">
        <v>0.1</v>
      </c>
      <c r="K511" t="s">
        <v>55</v>
      </c>
      <c r="L511" t="s">
        <v>47</v>
      </c>
      <c r="M511" t="s">
        <v>336</v>
      </c>
      <c r="N511">
        <f>SalesTable[[#This Row],[الكمية]]*SalesTable[[#This Row],[سعر الوحدة]]</f>
        <v>3600</v>
      </c>
      <c r="O511">
        <f>SalesTable[[#This Row],[الكمية]]*SalesTable[[#This Row],[سعر الوحدة]]*(1-SalesTable[[#This Row],[الخصم]])</f>
        <v>3240</v>
      </c>
    </row>
    <row r="512" spans="1:15" x14ac:dyDescent="0.3">
      <c r="A512">
        <v>10511</v>
      </c>
      <c r="B512" t="s">
        <v>36</v>
      </c>
      <c r="C512" s="3">
        <v>46166</v>
      </c>
      <c r="D512" t="s">
        <v>45</v>
      </c>
      <c r="E512" t="s">
        <v>46</v>
      </c>
      <c r="F512" t="s">
        <v>84</v>
      </c>
      <c r="G512" t="s">
        <v>113</v>
      </c>
      <c r="H512">
        <v>6</v>
      </c>
      <c r="I512">
        <v>1200</v>
      </c>
      <c r="J512">
        <v>0.05</v>
      </c>
      <c r="K512" t="s">
        <v>33</v>
      </c>
      <c r="L512" t="s">
        <v>26</v>
      </c>
      <c r="M512" t="s">
        <v>213</v>
      </c>
      <c r="N512">
        <f>SalesTable[[#This Row],[الكمية]]*SalesTable[[#This Row],[سعر الوحدة]]</f>
        <v>7200</v>
      </c>
      <c r="O512">
        <f>SalesTable[[#This Row],[الكمية]]*SalesTable[[#This Row],[سعر الوحدة]]*(1-SalesTable[[#This Row],[الخصم]])</f>
        <v>6840</v>
      </c>
    </row>
    <row r="513" spans="1:15" x14ac:dyDescent="0.3">
      <c r="A513">
        <v>10512</v>
      </c>
      <c r="B513" t="s">
        <v>21</v>
      </c>
      <c r="C513" s="3">
        <v>46244</v>
      </c>
      <c r="D513" t="s">
        <v>37</v>
      </c>
      <c r="E513" t="s">
        <v>23</v>
      </c>
      <c r="F513" t="s">
        <v>31</v>
      </c>
      <c r="G513" t="s">
        <v>54</v>
      </c>
      <c r="H513">
        <v>5</v>
      </c>
      <c r="I513">
        <v>32000</v>
      </c>
      <c r="J513">
        <v>0.03</v>
      </c>
      <c r="K513" t="s">
        <v>33</v>
      </c>
      <c r="L513" t="s">
        <v>26</v>
      </c>
      <c r="M513" t="s">
        <v>238</v>
      </c>
      <c r="N513">
        <f>SalesTable[[#This Row],[الكمية]]*SalesTable[[#This Row],[سعر الوحدة]]</f>
        <v>160000</v>
      </c>
      <c r="O513">
        <f>SalesTable[[#This Row],[الكمية]]*SalesTable[[#This Row],[سعر الوحدة]]*(1-SalesTable[[#This Row],[الخصم]])</f>
        <v>155200</v>
      </c>
    </row>
    <row r="514" spans="1:15" x14ac:dyDescent="0.3">
      <c r="A514">
        <v>10513</v>
      </c>
      <c r="B514" t="s">
        <v>36</v>
      </c>
      <c r="C514" s="3">
        <v>46278</v>
      </c>
      <c r="D514" t="s">
        <v>40</v>
      </c>
      <c r="E514" t="s">
        <v>41</v>
      </c>
      <c r="F514" t="s">
        <v>64</v>
      </c>
      <c r="G514" t="s">
        <v>65</v>
      </c>
      <c r="H514">
        <v>1</v>
      </c>
      <c r="I514">
        <v>150</v>
      </c>
      <c r="J514">
        <v>0.03</v>
      </c>
      <c r="K514" t="s">
        <v>55</v>
      </c>
      <c r="L514" t="s">
        <v>34</v>
      </c>
      <c r="M514" t="s">
        <v>256</v>
      </c>
      <c r="N514">
        <f>SalesTable[[#This Row],[الكمية]]*SalesTable[[#This Row],[سعر الوحدة]]</f>
        <v>150</v>
      </c>
      <c r="O514">
        <f>SalesTable[[#This Row],[الكمية]]*SalesTable[[#This Row],[سعر الوحدة]]*(1-SalesTable[[#This Row],[الخصم]])</f>
        <v>145.5</v>
      </c>
    </row>
    <row r="515" spans="1:15" x14ac:dyDescent="0.3">
      <c r="A515">
        <v>10514</v>
      </c>
      <c r="B515" t="s">
        <v>36</v>
      </c>
      <c r="C515" s="3">
        <v>46073</v>
      </c>
      <c r="D515" t="s">
        <v>110</v>
      </c>
      <c r="E515" t="s">
        <v>46</v>
      </c>
      <c r="F515" t="s">
        <v>87</v>
      </c>
      <c r="G515" t="s">
        <v>103</v>
      </c>
      <c r="H515">
        <v>10</v>
      </c>
      <c r="I515">
        <v>450</v>
      </c>
      <c r="J515">
        <v>0</v>
      </c>
      <c r="K515" t="s">
        <v>55</v>
      </c>
      <c r="L515" t="s">
        <v>19</v>
      </c>
      <c r="M515" t="s">
        <v>337</v>
      </c>
      <c r="N515">
        <f>SalesTable[[#This Row],[الكمية]]*SalesTable[[#This Row],[سعر الوحدة]]</f>
        <v>4500</v>
      </c>
      <c r="O515">
        <f>SalesTable[[#This Row],[الكمية]]*SalesTable[[#This Row],[سعر الوحدة]]*(1-SalesTable[[#This Row],[الخصم]])</f>
        <v>4500</v>
      </c>
    </row>
    <row r="516" spans="1:15" x14ac:dyDescent="0.3">
      <c r="A516">
        <v>10515</v>
      </c>
      <c r="B516" t="s">
        <v>67</v>
      </c>
      <c r="C516" s="3">
        <v>46156</v>
      </c>
      <c r="D516" t="s">
        <v>68</v>
      </c>
      <c r="E516" t="s">
        <v>46</v>
      </c>
      <c r="F516" t="s">
        <v>87</v>
      </c>
      <c r="G516" t="s">
        <v>88</v>
      </c>
      <c r="H516">
        <v>2</v>
      </c>
      <c r="I516">
        <v>1400</v>
      </c>
      <c r="J516">
        <v>7.0000000000000007E-2</v>
      </c>
      <c r="K516" t="s">
        <v>38</v>
      </c>
      <c r="L516" t="s">
        <v>34</v>
      </c>
      <c r="M516" t="s">
        <v>111</v>
      </c>
      <c r="N516">
        <f>SalesTable[[#This Row],[الكمية]]*SalesTable[[#This Row],[سعر الوحدة]]</f>
        <v>2800</v>
      </c>
      <c r="O516">
        <f>SalesTable[[#This Row],[الكمية]]*SalesTable[[#This Row],[سعر الوحدة]]*(1-SalesTable[[#This Row],[الخصم]])</f>
        <v>2604</v>
      </c>
    </row>
    <row r="517" spans="1:15" x14ac:dyDescent="0.3">
      <c r="A517">
        <v>10516</v>
      </c>
      <c r="B517" t="s">
        <v>44</v>
      </c>
      <c r="C517" s="3">
        <v>46202</v>
      </c>
      <c r="D517" t="s">
        <v>53</v>
      </c>
      <c r="E517" t="s">
        <v>15</v>
      </c>
      <c r="F517" t="s">
        <v>87</v>
      </c>
      <c r="G517" t="s">
        <v>88</v>
      </c>
      <c r="H517">
        <v>1</v>
      </c>
      <c r="I517">
        <v>3200</v>
      </c>
      <c r="J517">
        <v>7.0000000000000007E-2</v>
      </c>
      <c r="K517" t="s">
        <v>55</v>
      </c>
      <c r="L517" t="s">
        <v>26</v>
      </c>
      <c r="M517" t="s">
        <v>212</v>
      </c>
      <c r="N517">
        <f>SalesTable[[#This Row],[الكمية]]*SalesTable[[#This Row],[سعر الوحدة]]</f>
        <v>3200</v>
      </c>
      <c r="O517">
        <f>SalesTable[[#This Row],[الكمية]]*SalesTable[[#This Row],[سعر الوحدة]]*(1-SalesTable[[#This Row],[الخصم]])</f>
        <v>2976</v>
      </c>
    </row>
    <row r="518" spans="1:15" x14ac:dyDescent="0.3">
      <c r="A518">
        <v>10517</v>
      </c>
      <c r="B518" t="s">
        <v>62</v>
      </c>
      <c r="C518" s="3">
        <v>46063</v>
      </c>
      <c r="D518" t="s">
        <v>70</v>
      </c>
      <c r="E518" t="s">
        <v>46</v>
      </c>
      <c r="F518" t="s">
        <v>49</v>
      </c>
      <c r="G518" t="s">
        <v>122</v>
      </c>
      <c r="H518">
        <v>9</v>
      </c>
      <c r="I518">
        <v>1800</v>
      </c>
      <c r="J518">
        <v>7.0000000000000007E-2</v>
      </c>
      <c r="K518" t="s">
        <v>33</v>
      </c>
      <c r="L518" t="s">
        <v>34</v>
      </c>
      <c r="M518" t="s">
        <v>338</v>
      </c>
      <c r="N518">
        <f>SalesTable[[#This Row],[الكمية]]*SalesTable[[#This Row],[سعر الوحدة]]</f>
        <v>16200</v>
      </c>
      <c r="O518">
        <f>SalesTable[[#This Row],[الكمية]]*SalesTable[[#This Row],[سعر الوحدة]]*(1-SalesTable[[#This Row],[الخصم]])</f>
        <v>15065.999999999998</v>
      </c>
    </row>
    <row r="519" spans="1:15" x14ac:dyDescent="0.3">
      <c r="A519">
        <v>10518</v>
      </c>
      <c r="B519" t="s">
        <v>94</v>
      </c>
      <c r="C519" s="3">
        <v>46315</v>
      </c>
      <c r="D519" t="s">
        <v>14</v>
      </c>
      <c r="E519" t="s">
        <v>15</v>
      </c>
      <c r="F519" t="s">
        <v>64</v>
      </c>
      <c r="G519" t="s">
        <v>184</v>
      </c>
      <c r="H519">
        <v>6</v>
      </c>
      <c r="I519">
        <v>650</v>
      </c>
      <c r="J519">
        <v>7.0000000000000007E-2</v>
      </c>
      <c r="K519" t="s">
        <v>33</v>
      </c>
      <c r="L519" t="s">
        <v>19</v>
      </c>
      <c r="M519" t="s">
        <v>223</v>
      </c>
      <c r="N519">
        <f>SalesTable[[#This Row],[الكمية]]*SalesTable[[#This Row],[سعر الوحدة]]</f>
        <v>3900</v>
      </c>
      <c r="O519">
        <f>SalesTable[[#This Row],[الكمية]]*SalesTable[[#This Row],[سعر الوحدة]]*(1-SalesTable[[#This Row],[الخصم]])</f>
        <v>3626.9999999999995</v>
      </c>
    </row>
    <row r="520" spans="1:15" x14ac:dyDescent="0.3">
      <c r="A520">
        <v>10519</v>
      </c>
      <c r="B520" t="s">
        <v>52</v>
      </c>
      <c r="C520" s="3">
        <v>46386</v>
      </c>
      <c r="D520" t="s">
        <v>37</v>
      </c>
      <c r="E520" t="s">
        <v>23</v>
      </c>
      <c r="F520" t="s">
        <v>49</v>
      </c>
      <c r="G520" t="s">
        <v>50</v>
      </c>
      <c r="H520">
        <v>6</v>
      </c>
      <c r="I520">
        <v>32000</v>
      </c>
      <c r="J520">
        <v>0.05</v>
      </c>
      <c r="K520" t="s">
        <v>38</v>
      </c>
      <c r="L520" t="s">
        <v>47</v>
      </c>
      <c r="M520" t="s">
        <v>339</v>
      </c>
      <c r="N520">
        <f>SalesTable[[#This Row],[الكمية]]*SalesTable[[#This Row],[سعر الوحدة]]</f>
        <v>192000</v>
      </c>
      <c r="O520">
        <f>SalesTable[[#This Row],[الكمية]]*SalesTable[[#This Row],[سعر الوحدة]]*(1-SalesTable[[#This Row],[الخصم]])</f>
        <v>182400</v>
      </c>
    </row>
    <row r="521" spans="1:15" x14ac:dyDescent="0.3">
      <c r="A521">
        <v>10520</v>
      </c>
      <c r="B521" t="s">
        <v>62</v>
      </c>
      <c r="C521" s="3">
        <v>46234</v>
      </c>
      <c r="D521" t="s">
        <v>90</v>
      </c>
      <c r="E521" t="s">
        <v>91</v>
      </c>
      <c r="F521" t="s">
        <v>59</v>
      </c>
      <c r="G521" t="s">
        <v>105</v>
      </c>
      <c r="H521">
        <v>10</v>
      </c>
      <c r="I521">
        <v>6500</v>
      </c>
      <c r="J521">
        <v>0.1</v>
      </c>
      <c r="K521" t="s">
        <v>55</v>
      </c>
      <c r="L521" t="s">
        <v>26</v>
      </c>
      <c r="M521" t="s">
        <v>176</v>
      </c>
      <c r="N521">
        <f>SalesTable[[#This Row],[الكمية]]*SalesTable[[#This Row],[سعر الوحدة]]</f>
        <v>65000</v>
      </c>
      <c r="O521">
        <f>SalesTable[[#This Row],[الكمية]]*SalesTable[[#This Row],[سعر الوحدة]]*(1-SalesTable[[#This Row],[الخصم]])</f>
        <v>58500</v>
      </c>
    </row>
    <row r="522" spans="1:15" x14ac:dyDescent="0.3">
      <c r="A522">
        <v>10521</v>
      </c>
      <c r="B522" t="s">
        <v>44</v>
      </c>
      <c r="C522" s="3">
        <v>46130</v>
      </c>
      <c r="D522" t="s">
        <v>37</v>
      </c>
      <c r="E522" t="s">
        <v>23</v>
      </c>
      <c r="F522" t="s">
        <v>31</v>
      </c>
      <c r="G522" t="s">
        <v>77</v>
      </c>
      <c r="H522">
        <v>5</v>
      </c>
      <c r="I522">
        <v>32000</v>
      </c>
      <c r="J522">
        <v>0.15</v>
      </c>
      <c r="K522" t="s">
        <v>55</v>
      </c>
      <c r="L522" t="s">
        <v>47</v>
      </c>
      <c r="M522" t="s">
        <v>264</v>
      </c>
      <c r="N522">
        <f>SalesTable[[#This Row],[الكمية]]*SalesTable[[#This Row],[سعر الوحدة]]</f>
        <v>160000</v>
      </c>
      <c r="O522">
        <f>SalesTable[[#This Row],[الكمية]]*SalesTable[[#This Row],[سعر الوحدة]]*(1-SalesTable[[#This Row],[الخصم]])</f>
        <v>136000</v>
      </c>
    </row>
    <row r="523" spans="1:15" x14ac:dyDescent="0.3">
      <c r="A523">
        <v>10522</v>
      </c>
      <c r="B523" t="s">
        <v>28</v>
      </c>
      <c r="C523" s="3">
        <v>46226</v>
      </c>
      <c r="D523" t="s">
        <v>104</v>
      </c>
      <c r="E523" t="s">
        <v>23</v>
      </c>
      <c r="F523" t="s">
        <v>16</v>
      </c>
      <c r="G523" t="s">
        <v>189</v>
      </c>
      <c r="H523">
        <v>9</v>
      </c>
      <c r="I523">
        <v>28000</v>
      </c>
      <c r="J523">
        <v>0</v>
      </c>
      <c r="K523" t="s">
        <v>18</v>
      </c>
      <c r="L523" t="s">
        <v>19</v>
      </c>
      <c r="M523" t="s">
        <v>301</v>
      </c>
      <c r="N523">
        <f>SalesTable[[#This Row],[الكمية]]*SalesTable[[#This Row],[سعر الوحدة]]</f>
        <v>252000</v>
      </c>
      <c r="O523">
        <f>SalesTable[[#This Row],[الكمية]]*SalesTable[[#This Row],[سعر الوحدة]]*(1-SalesTable[[#This Row],[الخصم]])</f>
        <v>252000</v>
      </c>
    </row>
    <row r="524" spans="1:15" x14ac:dyDescent="0.3">
      <c r="A524">
        <v>10523</v>
      </c>
      <c r="B524" t="s">
        <v>13</v>
      </c>
      <c r="C524" s="3">
        <v>46149</v>
      </c>
      <c r="D524" t="s">
        <v>95</v>
      </c>
      <c r="E524" t="s">
        <v>15</v>
      </c>
      <c r="F524" t="s">
        <v>64</v>
      </c>
      <c r="G524" t="s">
        <v>71</v>
      </c>
      <c r="H524">
        <v>7</v>
      </c>
      <c r="I524">
        <v>5200</v>
      </c>
      <c r="J524">
        <v>0.05</v>
      </c>
      <c r="K524" t="s">
        <v>38</v>
      </c>
      <c r="L524" t="s">
        <v>47</v>
      </c>
      <c r="M524" t="s">
        <v>137</v>
      </c>
      <c r="N524">
        <f>SalesTable[[#This Row],[الكمية]]*SalesTable[[#This Row],[سعر الوحدة]]</f>
        <v>36400</v>
      </c>
      <c r="O524">
        <f>SalesTable[[#This Row],[الكمية]]*SalesTable[[#This Row],[سعر الوحدة]]*(1-SalesTable[[#This Row],[الخصم]])</f>
        <v>34580</v>
      </c>
    </row>
    <row r="525" spans="1:15" x14ac:dyDescent="0.3">
      <c r="A525">
        <v>10524</v>
      </c>
      <c r="B525" t="s">
        <v>67</v>
      </c>
      <c r="C525" s="3">
        <v>46189</v>
      </c>
      <c r="D525" t="s">
        <v>37</v>
      </c>
      <c r="E525" t="s">
        <v>23</v>
      </c>
      <c r="F525" t="s">
        <v>64</v>
      </c>
      <c r="G525" t="s">
        <v>71</v>
      </c>
      <c r="H525">
        <v>1</v>
      </c>
      <c r="I525">
        <v>32000</v>
      </c>
      <c r="J525">
        <v>0.15</v>
      </c>
      <c r="K525" t="s">
        <v>33</v>
      </c>
      <c r="L525" t="s">
        <v>47</v>
      </c>
      <c r="M525" t="s">
        <v>76</v>
      </c>
      <c r="N525">
        <f>SalesTable[[#This Row],[الكمية]]*SalesTable[[#This Row],[سعر الوحدة]]</f>
        <v>32000</v>
      </c>
      <c r="O525">
        <f>SalesTable[[#This Row],[الكمية]]*SalesTable[[#This Row],[سعر الوحدة]]*(1-SalesTable[[#This Row],[الخصم]])</f>
        <v>27200</v>
      </c>
    </row>
    <row r="526" spans="1:15" x14ac:dyDescent="0.3">
      <c r="A526">
        <v>10525</v>
      </c>
      <c r="B526" t="s">
        <v>21</v>
      </c>
      <c r="C526" s="3">
        <v>46113</v>
      </c>
      <c r="D526" t="s">
        <v>90</v>
      </c>
      <c r="E526" t="s">
        <v>91</v>
      </c>
      <c r="F526" t="s">
        <v>87</v>
      </c>
      <c r="G526" t="s">
        <v>103</v>
      </c>
      <c r="H526">
        <v>8</v>
      </c>
      <c r="I526">
        <v>6500</v>
      </c>
      <c r="J526">
        <v>0.03</v>
      </c>
      <c r="K526" t="s">
        <v>33</v>
      </c>
      <c r="L526" t="s">
        <v>47</v>
      </c>
      <c r="M526" t="s">
        <v>340</v>
      </c>
      <c r="N526">
        <f>SalesTable[[#This Row],[الكمية]]*SalesTable[[#This Row],[سعر الوحدة]]</f>
        <v>52000</v>
      </c>
      <c r="O526">
        <f>SalesTable[[#This Row],[الكمية]]*SalesTable[[#This Row],[سعر الوحدة]]*(1-SalesTable[[#This Row],[الخصم]])</f>
        <v>50440</v>
      </c>
    </row>
    <row r="527" spans="1:15" x14ac:dyDescent="0.3">
      <c r="A527">
        <v>10526</v>
      </c>
      <c r="B527" t="s">
        <v>13</v>
      </c>
      <c r="C527" s="3">
        <v>46068</v>
      </c>
      <c r="D527" t="s">
        <v>14</v>
      </c>
      <c r="E527" t="s">
        <v>15</v>
      </c>
      <c r="F527" t="s">
        <v>87</v>
      </c>
      <c r="G527" t="s">
        <v>88</v>
      </c>
      <c r="H527">
        <v>8</v>
      </c>
      <c r="I527">
        <v>650</v>
      </c>
      <c r="J527">
        <v>0.1</v>
      </c>
      <c r="K527" t="s">
        <v>33</v>
      </c>
      <c r="L527" t="s">
        <v>34</v>
      </c>
      <c r="M527" t="s">
        <v>276</v>
      </c>
      <c r="N527">
        <f>SalesTable[[#This Row],[الكمية]]*SalesTable[[#This Row],[سعر الوحدة]]</f>
        <v>5200</v>
      </c>
      <c r="O527">
        <f>SalesTable[[#This Row],[الكمية]]*SalesTable[[#This Row],[سعر الوحدة]]*(1-SalesTable[[#This Row],[الخصم]])</f>
        <v>4680</v>
      </c>
    </row>
    <row r="528" spans="1:15" x14ac:dyDescent="0.3">
      <c r="A528">
        <v>10527</v>
      </c>
      <c r="B528" t="s">
        <v>28</v>
      </c>
      <c r="C528" s="3">
        <v>46290</v>
      </c>
      <c r="D528" t="s">
        <v>29</v>
      </c>
      <c r="E528" t="s">
        <v>30</v>
      </c>
      <c r="F528" t="s">
        <v>87</v>
      </c>
      <c r="G528" t="s">
        <v>101</v>
      </c>
      <c r="H528">
        <v>5</v>
      </c>
      <c r="I528">
        <v>7500</v>
      </c>
      <c r="J528">
        <v>0</v>
      </c>
      <c r="K528" t="s">
        <v>55</v>
      </c>
      <c r="L528" t="s">
        <v>34</v>
      </c>
      <c r="M528" t="s">
        <v>245</v>
      </c>
      <c r="N528">
        <f>SalesTable[[#This Row],[الكمية]]*SalesTable[[#This Row],[سعر الوحدة]]</f>
        <v>37500</v>
      </c>
      <c r="O528">
        <f>SalesTable[[#This Row],[الكمية]]*SalesTable[[#This Row],[سعر الوحدة]]*(1-SalesTable[[#This Row],[الخصم]])</f>
        <v>37500</v>
      </c>
    </row>
    <row r="529" spans="1:15" x14ac:dyDescent="0.3">
      <c r="A529">
        <v>10528</v>
      </c>
      <c r="B529" t="s">
        <v>28</v>
      </c>
      <c r="C529" s="3">
        <v>46243</v>
      </c>
      <c r="D529" t="s">
        <v>48</v>
      </c>
      <c r="E529" t="s">
        <v>30</v>
      </c>
      <c r="F529" t="s">
        <v>24</v>
      </c>
      <c r="G529" t="s">
        <v>42</v>
      </c>
      <c r="H529">
        <v>8</v>
      </c>
      <c r="I529">
        <v>9000</v>
      </c>
      <c r="J529">
        <v>0.05</v>
      </c>
      <c r="K529" t="s">
        <v>38</v>
      </c>
      <c r="L529" t="s">
        <v>26</v>
      </c>
      <c r="M529" t="s">
        <v>242</v>
      </c>
      <c r="N529">
        <f>SalesTable[[#This Row],[الكمية]]*SalesTable[[#This Row],[سعر الوحدة]]</f>
        <v>72000</v>
      </c>
      <c r="O529">
        <f>SalesTable[[#This Row],[الكمية]]*SalesTable[[#This Row],[سعر الوحدة]]*(1-SalesTable[[#This Row],[الخصم]])</f>
        <v>68400</v>
      </c>
    </row>
    <row r="530" spans="1:15" x14ac:dyDescent="0.3">
      <c r="A530">
        <v>10529</v>
      </c>
      <c r="B530" t="s">
        <v>36</v>
      </c>
      <c r="C530" s="3">
        <v>46225</v>
      </c>
      <c r="D530" t="s">
        <v>53</v>
      </c>
      <c r="E530" t="s">
        <v>15</v>
      </c>
      <c r="F530" t="s">
        <v>49</v>
      </c>
      <c r="G530" t="s">
        <v>50</v>
      </c>
      <c r="H530">
        <v>7</v>
      </c>
      <c r="I530">
        <v>3200</v>
      </c>
      <c r="J530">
        <v>0.1</v>
      </c>
      <c r="K530" t="s">
        <v>55</v>
      </c>
      <c r="L530" t="s">
        <v>26</v>
      </c>
      <c r="M530" t="s">
        <v>275</v>
      </c>
      <c r="N530">
        <f>SalesTable[[#This Row],[الكمية]]*SalesTable[[#This Row],[سعر الوحدة]]</f>
        <v>22400</v>
      </c>
      <c r="O530">
        <f>SalesTable[[#This Row],[الكمية]]*SalesTable[[#This Row],[سعر الوحدة]]*(1-SalesTable[[#This Row],[الخصم]])</f>
        <v>20160</v>
      </c>
    </row>
    <row r="531" spans="1:15" x14ac:dyDescent="0.3">
      <c r="A531">
        <v>10530</v>
      </c>
      <c r="B531" t="s">
        <v>36</v>
      </c>
      <c r="C531" s="3">
        <v>46343</v>
      </c>
      <c r="D531" t="s">
        <v>68</v>
      </c>
      <c r="E531" t="s">
        <v>46</v>
      </c>
      <c r="F531" t="s">
        <v>84</v>
      </c>
      <c r="G531" t="s">
        <v>120</v>
      </c>
      <c r="H531">
        <v>5</v>
      </c>
      <c r="I531">
        <v>1400</v>
      </c>
      <c r="J531">
        <v>0</v>
      </c>
      <c r="K531" t="s">
        <v>55</v>
      </c>
      <c r="L531" t="s">
        <v>34</v>
      </c>
      <c r="M531" t="s">
        <v>212</v>
      </c>
      <c r="N531">
        <f>SalesTable[[#This Row],[الكمية]]*SalesTable[[#This Row],[سعر الوحدة]]</f>
        <v>7000</v>
      </c>
      <c r="O531">
        <f>SalesTable[[#This Row],[الكمية]]*SalesTable[[#This Row],[سعر الوحدة]]*(1-SalesTable[[#This Row],[الخصم]])</f>
        <v>7000</v>
      </c>
    </row>
    <row r="532" spans="1:15" x14ac:dyDescent="0.3">
      <c r="A532">
        <v>10531</v>
      </c>
      <c r="B532" t="s">
        <v>112</v>
      </c>
      <c r="C532" s="3">
        <v>46092</v>
      </c>
      <c r="D532" t="s">
        <v>14</v>
      </c>
      <c r="E532" t="s">
        <v>15</v>
      </c>
      <c r="F532" t="s">
        <v>87</v>
      </c>
      <c r="G532" t="s">
        <v>88</v>
      </c>
      <c r="H532">
        <v>4</v>
      </c>
      <c r="I532">
        <v>650</v>
      </c>
      <c r="J532">
        <v>0</v>
      </c>
      <c r="K532" t="s">
        <v>38</v>
      </c>
      <c r="L532" t="s">
        <v>19</v>
      </c>
      <c r="M532" t="s">
        <v>273</v>
      </c>
      <c r="N532">
        <f>SalesTable[[#This Row],[الكمية]]*SalesTable[[#This Row],[سعر الوحدة]]</f>
        <v>2600</v>
      </c>
      <c r="O532">
        <f>SalesTable[[#This Row],[الكمية]]*SalesTable[[#This Row],[سعر الوحدة]]*(1-SalesTable[[#This Row],[الخصم]])</f>
        <v>2600</v>
      </c>
    </row>
    <row r="533" spans="1:15" x14ac:dyDescent="0.3">
      <c r="A533">
        <v>10532</v>
      </c>
      <c r="B533" t="s">
        <v>13</v>
      </c>
      <c r="C533" s="3">
        <v>46187</v>
      </c>
      <c r="D533" t="s">
        <v>95</v>
      </c>
      <c r="E533" t="s">
        <v>15</v>
      </c>
      <c r="F533" t="s">
        <v>59</v>
      </c>
      <c r="G533" t="s">
        <v>105</v>
      </c>
      <c r="H533">
        <v>10</v>
      </c>
      <c r="I533">
        <v>5200</v>
      </c>
      <c r="J533">
        <v>7.0000000000000007E-2</v>
      </c>
      <c r="K533" t="s">
        <v>18</v>
      </c>
      <c r="L533" t="s">
        <v>26</v>
      </c>
      <c r="M533" t="s">
        <v>128</v>
      </c>
      <c r="N533">
        <f>SalesTable[[#This Row],[الكمية]]*SalesTable[[#This Row],[سعر الوحدة]]</f>
        <v>52000</v>
      </c>
      <c r="O533">
        <f>SalesTable[[#This Row],[الكمية]]*SalesTable[[#This Row],[سعر الوحدة]]*(1-SalesTable[[#This Row],[الخصم]])</f>
        <v>48360</v>
      </c>
    </row>
    <row r="534" spans="1:15" x14ac:dyDescent="0.3">
      <c r="A534">
        <v>10533</v>
      </c>
      <c r="B534" t="s">
        <v>52</v>
      </c>
      <c r="C534" s="3">
        <v>46087</v>
      </c>
      <c r="D534" t="s">
        <v>53</v>
      </c>
      <c r="E534" t="s">
        <v>15</v>
      </c>
      <c r="F534" t="s">
        <v>24</v>
      </c>
      <c r="G534" t="s">
        <v>73</v>
      </c>
      <c r="H534">
        <v>2</v>
      </c>
      <c r="I534">
        <v>3200</v>
      </c>
      <c r="J534">
        <v>0.05</v>
      </c>
      <c r="K534" t="s">
        <v>33</v>
      </c>
      <c r="L534" t="s">
        <v>19</v>
      </c>
      <c r="M534" t="s">
        <v>281</v>
      </c>
      <c r="N534">
        <f>SalesTable[[#This Row],[الكمية]]*SalesTable[[#This Row],[سعر الوحدة]]</f>
        <v>6400</v>
      </c>
      <c r="O534">
        <f>SalesTable[[#This Row],[الكمية]]*SalesTable[[#This Row],[سعر الوحدة]]*(1-SalesTable[[#This Row],[الخصم]])</f>
        <v>6080</v>
      </c>
    </row>
    <row r="535" spans="1:15" x14ac:dyDescent="0.3">
      <c r="A535">
        <v>10534</v>
      </c>
      <c r="B535" t="s">
        <v>67</v>
      </c>
      <c r="C535" s="3">
        <v>46238</v>
      </c>
      <c r="D535" t="s">
        <v>104</v>
      </c>
      <c r="E535" t="s">
        <v>23</v>
      </c>
      <c r="F535" t="s">
        <v>64</v>
      </c>
      <c r="G535" t="s">
        <v>71</v>
      </c>
      <c r="H535">
        <v>8</v>
      </c>
      <c r="I535">
        <v>28000</v>
      </c>
      <c r="J535">
        <v>0.03</v>
      </c>
      <c r="K535" t="s">
        <v>38</v>
      </c>
      <c r="L535" t="s">
        <v>47</v>
      </c>
      <c r="M535" t="s">
        <v>304</v>
      </c>
      <c r="N535">
        <f>SalesTable[[#This Row],[الكمية]]*SalesTable[[#This Row],[سعر الوحدة]]</f>
        <v>224000</v>
      </c>
      <c r="O535">
        <f>SalesTable[[#This Row],[الكمية]]*SalesTable[[#This Row],[سعر الوحدة]]*(1-SalesTable[[#This Row],[الخصم]])</f>
        <v>217280</v>
      </c>
    </row>
    <row r="536" spans="1:15" x14ac:dyDescent="0.3">
      <c r="A536">
        <v>10535</v>
      </c>
      <c r="B536" t="s">
        <v>28</v>
      </c>
      <c r="C536" s="3">
        <v>46159</v>
      </c>
      <c r="D536" t="s">
        <v>48</v>
      </c>
      <c r="E536" t="s">
        <v>30</v>
      </c>
      <c r="F536" t="s">
        <v>24</v>
      </c>
      <c r="G536" t="s">
        <v>57</v>
      </c>
      <c r="H536">
        <v>2</v>
      </c>
      <c r="I536">
        <v>9000</v>
      </c>
      <c r="J536">
        <v>0.03</v>
      </c>
      <c r="K536" t="s">
        <v>33</v>
      </c>
      <c r="L536" t="s">
        <v>19</v>
      </c>
      <c r="M536" t="s">
        <v>341</v>
      </c>
      <c r="N536">
        <f>SalesTable[[#This Row],[الكمية]]*SalesTable[[#This Row],[سعر الوحدة]]</f>
        <v>18000</v>
      </c>
      <c r="O536">
        <f>SalesTable[[#This Row],[الكمية]]*SalesTable[[#This Row],[سعر الوحدة]]*(1-SalesTable[[#This Row],[الخصم]])</f>
        <v>17460</v>
      </c>
    </row>
    <row r="537" spans="1:15" x14ac:dyDescent="0.3">
      <c r="A537">
        <v>10536</v>
      </c>
      <c r="B537" t="s">
        <v>28</v>
      </c>
      <c r="C537" s="3">
        <v>46085</v>
      </c>
      <c r="D537" t="s">
        <v>48</v>
      </c>
      <c r="E537" t="s">
        <v>30</v>
      </c>
      <c r="F537" t="s">
        <v>64</v>
      </c>
      <c r="G537" t="s">
        <v>184</v>
      </c>
      <c r="H537">
        <v>5</v>
      </c>
      <c r="I537">
        <v>9000</v>
      </c>
      <c r="J537">
        <v>7.0000000000000007E-2</v>
      </c>
      <c r="K537" t="s">
        <v>55</v>
      </c>
      <c r="L537" t="s">
        <v>47</v>
      </c>
      <c r="M537" t="s">
        <v>152</v>
      </c>
      <c r="N537">
        <f>SalesTable[[#This Row],[الكمية]]*SalesTable[[#This Row],[سعر الوحدة]]</f>
        <v>45000</v>
      </c>
      <c r="O537">
        <f>SalesTable[[#This Row],[الكمية]]*SalesTable[[#This Row],[سعر الوحدة]]*(1-SalesTable[[#This Row],[الخصم]])</f>
        <v>41850</v>
      </c>
    </row>
    <row r="538" spans="1:15" x14ac:dyDescent="0.3">
      <c r="A538">
        <v>10537</v>
      </c>
      <c r="B538" t="s">
        <v>44</v>
      </c>
      <c r="C538" s="3">
        <v>46289</v>
      </c>
      <c r="D538" t="s">
        <v>45</v>
      </c>
      <c r="E538" t="s">
        <v>46</v>
      </c>
      <c r="F538" t="s">
        <v>24</v>
      </c>
      <c r="G538" t="s">
        <v>73</v>
      </c>
      <c r="H538">
        <v>8</v>
      </c>
      <c r="I538">
        <v>1200</v>
      </c>
      <c r="J538">
        <v>0.15</v>
      </c>
      <c r="K538" t="s">
        <v>55</v>
      </c>
      <c r="L538" t="s">
        <v>47</v>
      </c>
      <c r="M538" t="s">
        <v>275</v>
      </c>
      <c r="N538">
        <f>SalesTable[[#This Row],[الكمية]]*SalesTable[[#This Row],[سعر الوحدة]]</f>
        <v>9600</v>
      </c>
      <c r="O538">
        <f>SalesTable[[#This Row],[الكمية]]*SalesTable[[#This Row],[سعر الوحدة]]*(1-SalesTable[[#This Row],[الخصم]])</f>
        <v>8160</v>
      </c>
    </row>
    <row r="539" spans="1:15" x14ac:dyDescent="0.3">
      <c r="A539">
        <v>10538</v>
      </c>
      <c r="B539" t="s">
        <v>28</v>
      </c>
      <c r="C539" s="3">
        <v>46304</v>
      </c>
      <c r="D539" t="s">
        <v>14</v>
      </c>
      <c r="E539" t="s">
        <v>15</v>
      </c>
      <c r="F539" t="s">
        <v>87</v>
      </c>
      <c r="G539" t="s">
        <v>88</v>
      </c>
      <c r="H539">
        <v>3</v>
      </c>
      <c r="I539">
        <v>650</v>
      </c>
      <c r="J539">
        <v>0.15</v>
      </c>
      <c r="K539" t="s">
        <v>18</v>
      </c>
      <c r="L539" t="s">
        <v>34</v>
      </c>
      <c r="M539" t="s">
        <v>326</v>
      </c>
      <c r="N539">
        <f>SalesTable[[#This Row],[الكمية]]*SalesTable[[#This Row],[سعر الوحدة]]</f>
        <v>1950</v>
      </c>
      <c r="O539">
        <f>SalesTable[[#This Row],[الكمية]]*SalesTable[[#This Row],[سعر الوحدة]]*(1-SalesTable[[#This Row],[الخصم]])</f>
        <v>1657.5</v>
      </c>
    </row>
    <row r="540" spans="1:15" x14ac:dyDescent="0.3">
      <c r="A540">
        <v>10539</v>
      </c>
      <c r="B540" t="s">
        <v>13</v>
      </c>
      <c r="C540" s="3">
        <v>46080</v>
      </c>
      <c r="D540" t="s">
        <v>14</v>
      </c>
      <c r="E540" t="s">
        <v>15</v>
      </c>
      <c r="F540" t="s">
        <v>87</v>
      </c>
      <c r="G540" t="s">
        <v>101</v>
      </c>
      <c r="H540">
        <v>6</v>
      </c>
      <c r="I540">
        <v>650</v>
      </c>
      <c r="J540">
        <v>0</v>
      </c>
      <c r="K540" t="s">
        <v>55</v>
      </c>
      <c r="L540" t="s">
        <v>47</v>
      </c>
      <c r="M540" t="s">
        <v>342</v>
      </c>
      <c r="N540">
        <f>SalesTable[[#This Row],[الكمية]]*SalesTable[[#This Row],[سعر الوحدة]]</f>
        <v>3900</v>
      </c>
      <c r="O540">
        <f>SalesTable[[#This Row],[الكمية]]*SalesTable[[#This Row],[سعر الوحدة]]*(1-SalesTable[[#This Row],[الخصم]])</f>
        <v>3900</v>
      </c>
    </row>
    <row r="541" spans="1:15" x14ac:dyDescent="0.3">
      <c r="A541">
        <v>10540</v>
      </c>
      <c r="B541" t="s">
        <v>36</v>
      </c>
      <c r="C541" s="3">
        <v>46147</v>
      </c>
      <c r="D541" t="s">
        <v>22</v>
      </c>
      <c r="E541" t="s">
        <v>23</v>
      </c>
      <c r="F541" t="s">
        <v>64</v>
      </c>
      <c r="G541" t="s">
        <v>107</v>
      </c>
      <c r="H541">
        <v>10</v>
      </c>
      <c r="I541">
        <v>25000</v>
      </c>
      <c r="J541">
        <v>0</v>
      </c>
      <c r="K541" t="s">
        <v>18</v>
      </c>
      <c r="L541" t="s">
        <v>19</v>
      </c>
      <c r="M541" t="s">
        <v>145</v>
      </c>
      <c r="N541">
        <f>SalesTable[[#This Row],[الكمية]]*SalesTable[[#This Row],[سعر الوحدة]]</f>
        <v>250000</v>
      </c>
      <c r="O541">
        <f>SalesTable[[#This Row],[الكمية]]*SalesTable[[#This Row],[سعر الوحدة]]*(1-SalesTable[[#This Row],[الخصم]])</f>
        <v>250000</v>
      </c>
    </row>
    <row r="542" spans="1:15" x14ac:dyDescent="0.3">
      <c r="A542">
        <v>10541</v>
      </c>
      <c r="B542" t="s">
        <v>67</v>
      </c>
      <c r="C542" s="3">
        <v>46068</v>
      </c>
      <c r="D542" t="s">
        <v>40</v>
      </c>
      <c r="E542" t="s">
        <v>41</v>
      </c>
      <c r="F542" t="s">
        <v>59</v>
      </c>
      <c r="G542" t="s">
        <v>75</v>
      </c>
      <c r="H542">
        <v>10</v>
      </c>
      <c r="I542">
        <v>150</v>
      </c>
      <c r="J542">
        <v>0.03</v>
      </c>
      <c r="K542" t="s">
        <v>55</v>
      </c>
      <c r="L542" t="s">
        <v>26</v>
      </c>
      <c r="M542" t="s">
        <v>58</v>
      </c>
      <c r="N542">
        <f>SalesTable[[#This Row],[الكمية]]*SalesTable[[#This Row],[سعر الوحدة]]</f>
        <v>1500</v>
      </c>
      <c r="O542">
        <f>SalesTable[[#This Row],[الكمية]]*SalesTable[[#This Row],[سعر الوحدة]]*(1-SalesTable[[#This Row],[الخصم]])</f>
        <v>1455</v>
      </c>
    </row>
    <row r="543" spans="1:15" x14ac:dyDescent="0.3">
      <c r="A543">
        <v>10542</v>
      </c>
      <c r="B543" t="s">
        <v>67</v>
      </c>
      <c r="C543" s="3">
        <v>46353</v>
      </c>
      <c r="D543" t="s">
        <v>104</v>
      </c>
      <c r="E543" t="s">
        <v>23</v>
      </c>
      <c r="F543" t="s">
        <v>49</v>
      </c>
      <c r="G543" t="s">
        <v>122</v>
      </c>
      <c r="H543">
        <v>1</v>
      </c>
      <c r="I543">
        <v>28000</v>
      </c>
      <c r="J543">
        <v>0</v>
      </c>
      <c r="K543" t="s">
        <v>55</v>
      </c>
      <c r="L543" t="s">
        <v>19</v>
      </c>
      <c r="M543" t="s">
        <v>137</v>
      </c>
      <c r="N543">
        <f>SalesTable[[#This Row],[الكمية]]*SalesTable[[#This Row],[سعر الوحدة]]</f>
        <v>28000</v>
      </c>
      <c r="O543">
        <f>SalesTable[[#This Row],[الكمية]]*SalesTable[[#This Row],[سعر الوحدة]]*(1-SalesTable[[#This Row],[الخصم]])</f>
        <v>28000</v>
      </c>
    </row>
    <row r="544" spans="1:15" x14ac:dyDescent="0.3">
      <c r="A544">
        <v>10543</v>
      </c>
      <c r="B544" t="s">
        <v>67</v>
      </c>
      <c r="C544" s="3">
        <v>46247</v>
      </c>
      <c r="D544" t="s">
        <v>48</v>
      </c>
      <c r="E544" t="s">
        <v>30</v>
      </c>
      <c r="F544" t="s">
        <v>31</v>
      </c>
      <c r="G544" t="s">
        <v>32</v>
      </c>
      <c r="H544">
        <v>9</v>
      </c>
      <c r="I544">
        <v>9000</v>
      </c>
      <c r="J544">
        <v>0.15</v>
      </c>
      <c r="K544" t="s">
        <v>55</v>
      </c>
      <c r="L544" t="s">
        <v>19</v>
      </c>
      <c r="M544" t="s">
        <v>324</v>
      </c>
      <c r="N544">
        <f>SalesTable[[#This Row],[الكمية]]*SalesTable[[#This Row],[سعر الوحدة]]</f>
        <v>81000</v>
      </c>
      <c r="O544">
        <f>SalesTable[[#This Row],[الكمية]]*SalesTable[[#This Row],[سعر الوحدة]]*(1-SalesTable[[#This Row],[الخصم]])</f>
        <v>68850</v>
      </c>
    </row>
    <row r="545" spans="1:15" x14ac:dyDescent="0.3">
      <c r="A545">
        <v>10544</v>
      </c>
      <c r="B545" t="s">
        <v>62</v>
      </c>
      <c r="C545" s="3">
        <v>46309</v>
      </c>
      <c r="D545" t="s">
        <v>70</v>
      </c>
      <c r="E545" t="s">
        <v>46</v>
      </c>
      <c r="F545" t="s">
        <v>64</v>
      </c>
      <c r="G545" t="s">
        <v>107</v>
      </c>
      <c r="H545">
        <v>1</v>
      </c>
      <c r="I545">
        <v>1800</v>
      </c>
      <c r="J545">
        <v>7.0000000000000007E-2</v>
      </c>
      <c r="K545" t="s">
        <v>38</v>
      </c>
      <c r="L545" t="s">
        <v>47</v>
      </c>
      <c r="M545" t="s">
        <v>333</v>
      </c>
      <c r="N545">
        <f>SalesTable[[#This Row],[الكمية]]*SalesTable[[#This Row],[سعر الوحدة]]</f>
        <v>1800</v>
      </c>
      <c r="O545">
        <f>SalesTable[[#This Row],[الكمية]]*SalesTable[[#This Row],[سعر الوحدة]]*(1-SalesTable[[#This Row],[الخصم]])</f>
        <v>1674</v>
      </c>
    </row>
    <row r="546" spans="1:15" x14ac:dyDescent="0.3">
      <c r="A546">
        <v>10545</v>
      </c>
      <c r="B546" t="s">
        <v>62</v>
      </c>
      <c r="C546" s="3">
        <v>46163</v>
      </c>
      <c r="D546" t="s">
        <v>95</v>
      </c>
      <c r="E546" t="s">
        <v>15</v>
      </c>
      <c r="F546" t="s">
        <v>64</v>
      </c>
      <c r="G546" t="s">
        <v>107</v>
      </c>
      <c r="H546">
        <v>6</v>
      </c>
      <c r="I546">
        <v>5200</v>
      </c>
      <c r="J546">
        <v>0.15</v>
      </c>
      <c r="K546" t="s">
        <v>55</v>
      </c>
      <c r="L546" t="s">
        <v>19</v>
      </c>
      <c r="M546" t="s">
        <v>191</v>
      </c>
      <c r="N546">
        <f>SalesTable[[#This Row],[الكمية]]*SalesTable[[#This Row],[سعر الوحدة]]</f>
        <v>31200</v>
      </c>
      <c r="O546">
        <f>SalesTable[[#This Row],[الكمية]]*SalesTable[[#This Row],[سعر الوحدة]]*(1-SalesTable[[#This Row],[الخصم]])</f>
        <v>26520</v>
      </c>
    </row>
    <row r="547" spans="1:15" x14ac:dyDescent="0.3">
      <c r="A547">
        <v>10546</v>
      </c>
      <c r="B547" t="s">
        <v>67</v>
      </c>
      <c r="C547" s="3">
        <v>46255</v>
      </c>
      <c r="D547" t="s">
        <v>37</v>
      </c>
      <c r="E547" t="s">
        <v>23</v>
      </c>
      <c r="F547" t="s">
        <v>59</v>
      </c>
      <c r="G547" t="s">
        <v>105</v>
      </c>
      <c r="H547">
        <v>5</v>
      </c>
      <c r="I547">
        <v>32000</v>
      </c>
      <c r="J547">
        <v>0.1</v>
      </c>
      <c r="K547" t="s">
        <v>18</v>
      </c>
      <c r="L547" t="s">
        <v>47</v>
      </c>
      <c r="M547" t="s">
        <v>254</v>
      </c>
      <c r="N547">
        <f>SalesTable[[#This Row],[الكمية]]*SalesTable[[#This Row],[سعر الوحدة]]</f>
        <v>160000</v>
      </c>
      <c r="O547">
        <f>SalesTable[[#This Row],[الكمية]]*SalesTable[[#This Row],[سعر الوحدة]]*(1-SalesTable[[#This Row],[الخصم]])</f>
        <v>144000</v>
      </c>
    </row>
    <row r="548" spans="1:15" x14ac:dyDescent="0.3">
      <c r="A548">
        <v>10547</v>
      </c>
      <c r="B548" t="s">
        <v>67</v>
      </c>
      <c r="C548" s="3">
        <v>46055</v>
      </c>
      <c r="D548" t="s">
        <v>90</v>
      </c>
      <c r="E548" t="s">
        <v>91</v>
      </c>
      <c r="F548" t="s">
        <v>24</v>
      </c>
      <c r="G548" t="s">
        <v>57</v>
      </c>
      <c r="H548">
        <v>10</v>
      </c>
      <c r="I548">
        <v>6500</v>
      </c>
      <c r="J548">
        <v>0.03</v>
      </c>
      <c r="K548" t="s">
        <v>33</v>
      </c>
      <c r="L548" t="s">
        <v>26</v>
      </c>
      <c r="M548" t="s">
        <v>340</v>
      </c>
      <c r="N548">
        <f>SalesTable[[#This Row],[الكمية]]*SalesTable[[#This Row],[سعر الوحدة]]</f>
        <v>65000</v>
      </c>
      <c r="O548">
        <f>SalesTable[[#This Row],[الكمية]]*SalesTable[[#This Row],[سعر الوحدة]]*(1-SalesTable[[#This Row],[الخصم]])</f>
        <v>63050</v>
      </c>
    </row>
    <row r="549" spans="1:15" x14ac:dyDescent="0.3">
      <c r="A549">
        <v>10548</v>
      </c>
      <c r="B549" t="s">
        <v>52</v>
      </c>
      <c r="C549" s="3">
        <v>46188</v>
      </c>
      <c r="D549" t="s">
        <v>14</v>
      </c>
      <c r="E549" t="s">
        <v>15</v>
      </c>
      <c r="F549" t="s">
        <v>59</v>
      </c>
      <c r="G549" t="s">
        <v>75</v>
      </c>
      <c r="H549">
        <v>3</v>
      </c>
      <c r="I549">
        <v>650</v>
      </c>
      <c r="J549">
        <v>0.1</v>
      </c>
      <c r="K549" t="s">
        <v>33</v>
      </c>
      <c r="L549" t="s">
        <v>34</v>
      </c>
      <c r="M549" t="s">
        <v>186</v>
      </c>
      <c r="N549">
        <f>SalesTable[[#This Row],[الكمية]]*SalesTable[[#This Row],[سعر الوحدة]]</f>
        <v>1950</v>
      </c>
      <c r="O549">
        <f>SalesTable[[#This Row],[الكمية]]*SalesTable[[#This Row],[سعر الوحدة]]*(1-SalesTable[[#This Row],[الخصم]])</f>
        <v>1755</v>
      </c>
    </row>
    <row r="550" spans="1:15" x14ac:dyDescent="0.3">
      <c r="A550">
        <v>10549</v>
      </c>
      <c r="B550" t="s">
        <v>28</v>
      </c>
      <c r="C550" s="3">
        <v>46126</v>
      </c>
      <c r="D550" t="s">
        <v>104</v>
      </c>
      <c r="E550" t="s">
        <v>23</v>
      </c>
      <c r="F550" t="s">
        <v>16</v>
      </c>
      <c r="G550" t="s">
        <v>17</v>
      </c>
      <c r="H550">
        <v>3</v>
      </c>
      <c r="I550">
        <v>28000</v>
      </c>
      <c r="J550">
        <v>0.03</v>
      </c>
      <c r="K550" t="s">
        <v>18</v>
      </c>
      <c r="L550" t="s">
        <v>47</v>
      </c>
      <c r="M550" t="s">
        <v>147</v>
      </c>
      <c r="N550">
        <f>SalesTable[[#This Row],[الكمية]]*SalesTable[[#This Row],[سعر الوحدة]]</f>
        <v>84000</v>
      </c>
      <c r="O550">
        <f>SalesTable[[#This Row],[الكمية]]*SalesTable[[#This Row],[سعر الوحدة]]*(1-SalesTable[[#This Row],[الخصم]])</f>
        <v>81480</v>
      </c>
    </row>
    <row r="551" spans="1:15" x14ac:dyDescent="0.3">
      <c r="A551">
        <v>10550</v>
      </c>
      <c r="B551" t="s">
        <v>94</v>
      </c>
      <c r="C551" s="3">
        <v>46382</v>
      </c>
      <c r="D551" t="s">
        <v>104</v>
      </c>
      <c r="E551" t="s">
        <v>23</v>
      </c>
      <c r="F551" t="s">
        <v>24</v>
      </c>
      <c r="G551" t="s">
        <v>42</v>
      </c>
      <c r="H551">
        <v>8</v>
      </c>
      <c r="I551">
        <v>28000</v>
      </c>
      <c r="J551">
        <v>0.1</v>
      </c>
      <c r="K551" t="s">
        <v>38</v>
      </c>
      <c r="L551" t="s">
        <v>19</v>
      </c>
      <c r="M551" t="s">
        <v>276</v>
      </c>
      <c r="N551">
        <f>SalesTable[[#This Row],[الكمية]]*SalesTable[[#This Row],[سعر الوحدة]]</f>
        <v>224000</v>
      </c>
      <c r="O551">
        <f>SalesTable[[#This Row],[الكمية]]*SalesTable[[#This Row],[سعر الوحدة]]*(1-SalesTable[[#This Row],[الخصم]])</f>
        <v>201600</v>
      </c>
    </row>
    <row r="552" spans="1:15" x14ac:dyDescent="0.3">
      <c r="A552">
        <v>10551</v>
      </c>
      <c r="B552" t="s">
        <v>62</v>
      </c>
      <c r="C552" s="3">
        <v>46063</v>
      </c>
      <c r="D552" t="s">
        <v>45</v>
      </c>
      <c r="E552" t="s">
        <v>46</v>
      </c>
      <c r="F552" t="s">
        <v>16</v>
      </c>
      <c r="G552" t="s">
        <v>17</v>
      </c>
      <c r="H552">
        <v>4</v>
      </c>
      <c r="I552">
        <v>1200</v>
      </c>
      <c r="J552">
        <v>0.15</v>
      </c>
      <c r="K552" t="s">
        <v>33</v>
      </c>
      <c r="L552" t="s">
        <v>19</v>
      </c>
      <c r="M552" t="s">
        <v>243</v>
      </c>
      <c r="N552">
        <f>SalesTable[[#This Row],[الكمية]]*SalesTable[[#This Row],[سعر الوحدة]]</f>
        <v>4800</v>
      </c>
      <c r="O552">
        <f>SalesTable[[#This Row],[الكمية]]*SalesTable[[#This Row],[سعر الوحدة]]*(1-SalesTable[[#This Row],[الخصم]])</f>
        <v>4080</v>
      </c>
    </row>
    <row r="553" spans="1:15" x14ac:dyDescent="0.3">
      <c r="A553">
        <v>10552</v>
      </c>
      <c r="B553" t="s">
        <v>52</v>
      </c>
      <c r="C553" s="3">
        <v>46293</v>
      </c>
      <c r="D553" t="s">
        <v>53</v>
      </c>
      <c r="E553" t="s">
        <v>15</v>
      </c>
      <c r="F553" t="s">
        <v>84</v>
      </c>
      <c r="G553" t="s">
        <v>85</v>
      </c>
      <c r="H553">
        <v>1</v>
      </c>
      <c r="I553">
        <v>3200</v>
      </c>
      <c r="J553">
        <v>0.1</v>
      </c>
      <c r="K553" t="s">
        <v>18</v>
      </c>
      <c r="L553" t="s">
        <v>19</v>
      </c>
      <c r="M553" t="s">
        <v>270</v>
      </c>
      <c r="N553">
        <f>SalesTable[[#This Row],[الكمية]]*SalesTable[[#This Row],[سعر الوحدة]]</f>
        <v>3200</v>
      </c>
      <c r="O553">
        <f>SalesTable[[#This Row],[الكمية]]*SalesTable[[#This Row],[سعر الوحدة]]*(1-SalesTable[[#This Row],[الخصم]])</f>
        <v>2880</v>
      </c>
    </row>
    <row r="554" spans="1:15" x14ac:dyDescent="0.3">
      <c r="A554">
        <v>10553</v>
      </c>
      <c r="B554" t="s">
        <v>13</v>
      </c>
      <c r="C554" s="3">
        <v>46295</v>
      </c>
      <c r="D554" t="s">
        <v>104</v>
      </c>
      <c r="E554" t="s">
        <v>23</v>
      </c>
      <c r="F554" t="s">
        <v>31</v>
      </c>
      <c r="G554" t="s">
        <v>77</v>
      </c>
      <c r="H554">
        <v>2</v>
      </c>
      <c r="I554">
        <v>28000</v>
      </c>
      <c r="J554">
        <v>0</v>
      </c>
      <c r="K554" t="s">
        <v>33</v>
      </c>
      <c r="L554" t="s">
        <v>26</v>
      </c>
      <c r="M554" t="s">
        <v>147</v>
      </c>
      <c r="N554">
        <f>SalesTable[[#This Row],[الكمية]]*SalesTable[[#This Row],[سعر الوحدة]]</f>
        <v>56000</v>
      </c>
      <c r="O554">
        <f>SalesTable[[#This Row],[الكمية]]*SalesTable[[#This Row],[سعر الوحدة]]*(1-SalesTable[[#This Row],[الخصم]])</f>
        <v>56000</v>
      </c>
    </row>
    <row r="555" spans="1:15" x14ac:dyDescent="0.3">
      <c r="A555">
        <v>10554</v>
      </c>
      <c r="B555" t="s">
        <v>21</v>
      </c>
      <c r="C555" s="3">
        <v>46235</v>
      </c>
      <c r="D555" t="s">
        <v>53</v>
      </c>
      <c r="E555" t="s">
        <v>15</v>
      </c>
      <c r="F555" t="s">
        <v>31</v>
      </c>
      <c r="G555" t="s">
        <v>77</v>
      </c>
      <c r="H555">
        <v>3</v>
      </c>
      <c r="I555">
        <v>3200</v>
      </c>
      <c r="J555">
        <v>0.1</v>
      </c>
      <c r="K555" t="s">
        <v>18</v>
      </c>
      <c r="L555" t="s">
        <v>34</v>
      </c>
      <c r="M555" t="s">
        <v>267</v>
      </c>
      <c r="N555">
        <f>SalesTable[[#This Row],[الكمية]]*SalesTable[[#This Row],[سعر الوحدة]]</f>
        <v>9600</v>
      </c>
      <c r="O555">
        <f>SalesTable[[#This Row],[الكمية]]*SalesTable[[#This Row],[سعر الوحدة]]*(1-SalesTable[[#This Row],[الخصم]])</f>
        <v>8640</v>
      </c>
    </row>
    <row r="556" spans="1:15" x14ac:dyDescent="0.3">
      <c r="A556">
        <v>10555</v>
      </c>
      <c r="B556" t="s">
        <v>21</v>
      </c>
      <c r="C556" s="3">
        <v>46228</v>
      </c>
      <c r="D556" t="s">
        <v>81</v>
      </c>
      <c r="E556" t="s">
        <v>41</v>
      </c>
      <c r="F556" t="s">
        <v>84</v>
      </c>
      <c r="G556" t="s">
        <v>120</v>
      </c>
      <c r="H556">
        <v>3</v>
      </c>
      <c r="I556">
        <v>2200</v>
      </c>
      <c r="J556">
        <v>0.03</v>
      </c>
      <c r="K556" t="s">
        <v>38</v>
      </c>
      <c r="L556" t="s">
        <v>26</v>
      </c>
      <c r="M556" t="s">
        <v>294</v>
      </c>
      <c r="N556">
        <f>SalesTable[[#This Row],[الكمية]]*SalesTable[[#This Row],[سعر الوحدة]]</f>
        <v>6600</v>
      </c>
      <c r="O556">
        <f>SalesTable[[#This Row],[الكمية]]*SalesTable[[#This Row],[سعر الوحدة]]*(1-SalesTable[[#This Row],[الخصم]])</f>
        <v>6402</v>
      </c>
    </row>
    <row r="557" spans="1:15" x14ac:dyDescent="0.3">
      <c r="A557">
        <v>10556</v>
      </c>
      <c r="B557" t="s">
        <v>67</v>
      </c>
      <c r="C557" s="3">
        <v>46213</v>
      </c>
      <c r="D557" t="s">
        <v>95</v>
      </c>
      <c r="E557" t="s">
        <v>15</v>
      </c>
      <c r="F557" t="s">
        <v>59</v>
      </c>
      <c r="G557" t="s">
        <v>105</v>
      </c>
      <c r="H557">
        <v>6</v>
      </c>
      <c r="I557">
        <v>5200</v>
      </c>
      <c r="J557">
        <v>0.1</v>
      </c>
      <c r="K557" t="s">
        <v>33</v>
      </c>
      <c r="L557" t="s">
        <v>47</v>
      </c>
      <c r="M557" t="s">
        <v>141</v>
      </c>
      <c r="N557">
        <f>SalesTable[[#This Row],[الكمية]]*SalesTable[[#This Row],[سعر الوحدة]]</f>
        <v>31200</v>
      </c>
      <c r="O557">
        <f>SalesTable[[#This Row],[الكمية]]*SalesTable[[#This Row],[سعر الوحدة]]*(1-SalesTable[[#This Row],[الخصم]])</f>
        <v>28080</v>
      </c>
    </row>
    <row r="558" spans="1:15" x14ac:dyDescent="0.3">
      <c r="A558">
        <v>10557</v>
      </c>
      <c r="B558" t="s">
        <v>36</v>
      </c>
      <c r="C558" s="3">
        <v>46304</v>
      </c>
      <c r="D558" t="s">
        <v>95</v>
      </c>
      <c r="E558" t="s">
        <v>15</v>
      </c>
      <c r="F558" t="s">
        <v>31</v>
      </c>
      <c r="G558" t="s">
        <v>77</v>
      </c>
      <c r="H558">
        <v>9</v>
      </c>
      <c r="I558">
        <v>5200</v>
      </c>
      <c r="J558">
        <v>0.03</v>
      </c>
      <c r="K558" t="s">
        <v>38</v>
      </c>
      <c r="L558" t="s">
        <v>34</v>
      </c>
      <c r="M558" t="s">
        <v>279</v>
      </c>
      <c r="N558">
        <f>SalesTable[[#This Row],[الكمية]]*SalesTable[[#This Row],[سعر الوحدة]]</f>
        <v>46800</v>
      </c>
      <c r="O558">
        <f>SalesTable[[#This Row],[الكمية]]*SalesTable[[#This Row],[سعر الوحدة]]*(1-SalesTable[[#This Row],[الخصم]])</f>
        <v>45396</v>
      </c>
    </row>
    <row r="559" spans="1:15" x14ac:dyDescent="0.3">
      <c r="A559">
        <v>10558</v>
      </c>
      <c r="B559" t="s">
        <v>94</v>
      </c>
      <c r="C559" s="3">
        <v>46031</v>
      </c>
      <c r="D559" t="s">
        <v>48</v>
      </c>
      <c r="E559" t="s">
        <v>30</v>
      </c>
      <c r="F559" t="s">
        <v>84</v>
      </c>
      <c r="G559" t="s">
        <v>120</v>
      </c>
      <c r="H559">
        <v>1</v>
      </c>
      <c r="I559">
        <v>9000</v>
      </c>
      <c r="J559">
        <v>0.05</v>
      </c>
      <c r="K559" t="s">
        <v>55</v>
      </c>
      <c r="L559" t="s">
        <v>34</v>
      </c>
      <c r="M559" t="s">
        <v>242</v>
      </c>
      <c r="N559">
        <f>SalesTable[[#This Row],[الكمية]]*SalesTable[[#This Row],[سعر الوحدة]]</f>
        <v>9000</v>
      </c>
      <c r="O559">
        <f>SalesTable[[#This Row],[الكمية]]*SalesTable[[#This Row],[سعر الوحدة]]*(1-SalesTable[[#This Row],[الخصم]])</f>
        <v>8550</v>
      </c>
    </row>
    <row r="560" spans="1:15" x14ac:dyDescent="0.3">
      <c r="A560">
        <v>10559</v>
      </c>
      <c r="B560" t="s">
        <v>52</v>
      </c>
      <c r="C560" s="3">
        <v>46306</v>
      </c>
      <c r="D560" t="s">
        <v>110</v>
      </c>
      <c r="E560" t="s">
        <v>46</v>
      </c>
      <c r="F560" t="s">
        <v>31</v>
      </c>
      <c r="G560" t="s">
        <v>54</v>
      </c>
      <c r="H560">
        <v>6</v>
      </c>
      <c r="I560">
        <v>450</v>
      </c>
      <c r="J560">
        <v>0</v>
      </c>
      <c r="K560" t="s">
        <v>55</v>
      </c>
      <c r="L560" t="s">
        <v>19</v>
      </c>
      <c r="M560" t="s">
        <v>115</v>
      </c>
      <c r="N560">
        <f>SalesTable[[#This Row],[الكمية]]*SalesTable[[#This Row],[سعر الوحدة]]</f>
        <v>2700</v>
      </c>
      <c r="O560">
        <f>SalesTable[[#This Row],[الكمية]]*SalesTable[[#This Row],[سعر الوحدة]]*(1-SalesTable[[#This Row],[الخصم]])</f>
        <v>2700</v>
      </c>
    </row>
    <row r="561" spans="1:15" x14ac:dyDescent="0.3">
      <c r="A561">
        <v>10560</v>
      </c>
      <c r="B561" t="s">
        <v>67</v>
      </c>
      <c r="C561" s="3">
        <v>46321</v>
      </c>
      <c r="D561" t="s">
        <v>48</v>
      </c>
      <c r="E561" t="s">
        <v>30</v>
      </c>
      <c r="F561" t="s">
        <v>49</v>
      </c>
      <c r="G561" t="s">
        <v>50</v>
      </c>
      <c r="H561">
        <v>3</v>
      </c>
      <c r="I561">
        <v>9000</v>
      </c>
      <c r="J561">
        <v>0.05</v>
      </c>
      <c r="K561" t="s">
        <v>55</v>
      </c>
      <c r="L561" t="s">
        <v>26</v>
      </c>
      <c r="M561" t="s">
        <v>180</v>
      </c>
      <c r="N561">
        <f>SalesTable[[#This Row],[الكمية]]*SalesTable[[#This Row],[سعر الوحدة]]</f>
        <v>27000</v>
      </c>
      <c r="O561">
        <f>SalesTable[[#This Row],[الكمية]]*SalesTable[[#This Row],[سعر الوحدة]]*(1-SalesTable[[#This Row],[الخصم]])</f>
        <v>25650</v>
      </c>
    </row>
    <row r="562" spans="1:15" x14ac:dyDescent="0.3">
      <c r="A562">
        <v>10561</v>
      </c>
      <c r="B562" t="s">
        <v>94</v>
      </c>
      <c r="C562" s="3">
        <v>46134</v>
      </c>
      <c r="D562" t="s">
        <v>40</v>
      </c>
      <c r="E562" t="s">
        <v>41</v>
      </c>
      <c r="F562" t="s">
        <v>87</v>
      </c>
      <c r="G562" t="s">
        <v>101</v>
      </c>
      <c r="H562">
        <v>10</v>
      </c>
      <c r="I562">
        <v>150</v>
      </c>
      <c r="J562">
        <v>7.0000000000000007E-2</v>
      </c>
      <c r="K562" t="s">
        <v>18</v>
      </c>
      <c r="L562" t="s">
        <v>34</v>
      </c>
      <c r="M562" t="s">
        <v>272</v>
      </c>
      <c r="N562">
        <f>SalesTable[[#This Row],[الكمية]]*SalesTable[[#This Row],[سعر الوحدة]]</f>
        <v>1500</v>
      </c>
      <c r="O562">
        <f>SalesTable[[#This Row],[الكمية]]*SalesTable[[#This Row],[سعر الوحدة]]*(1-SalesTable[[#This Row],[الخصم]])</f>
        <v>1395</v>
      </c>
    </row>
    <row r="563" spans="1:15" x14ac:dyDescent="0.3">
      <c r="A563">
        <v>10562</v>
      </c>
      <c r="B563" t="s">
        <v>94</v>
      </c>
      <c r="C563" s="3">
        <v>46351</v>
      </c>
      <c r="D563" t="s">
        <v>37</v>
      </c>
      <c r="E563" t="s">
        <v>23</v>
      </c>
      <c r="F563" t="s">
        <v>59</v>
      </c>
      <c r="G563" t="s">
        <v>75</v>
      </c>
      <c r="H563">
        <v>10</v>
      </c>
      <c r="I563">
        <v>32000</v>
      </c>
      <c r="J563">
        <v>0</v>
      </c>
      <c r="K563" t="s">
        <v>38</v>
      </c>
      <c r="L563" t="s">
        <v>19</v>
      </c>
      <c r="M563" t="s">
        <v>43</v>
      </c>
      <c r="N563">
        <f>SalesTable[[#This Row],[الكمية]]*SalesTable[[#This Row],[سعر الوحدة]]</f>
        <v>320000</v>
      </c>
      <c r="O563">
        <f>SalesTable[[#This Row],[الكمية]]*SalesTable[[#This Row],[سعر الوحدة]]*(1-SalesTable[[#This Row],[الخصم]])</f>
        <v>320000</v>
      </c>
    </row>
    <row r="564" spans="1:15" x14ac:dyDescent="0.3">
      <c r="A564">
        <v>10563</v>
      </c>
      <c r="B564" t="s">
        <v>36</v>
      </c>
      <c r="C564" s="3">
        <v>46236</v>
      </c>
      <c r="D564" t="s">
        <v>29</v>
      </c>
      <c r="E564" t="s">
        <v>30</v>
      </c>
      <c r="F564" t="s">
        <v>16</v>
      </c>
      <c r="G564" t="s">
        <v>17</v>
      </c>
      <c r="H564">
        <v>6</v>
      </c>
      <c r="I564">
        <v>7500</v>
      </c>
      <c r="J564">
        <v>0.05</v>
      </c>
      <c r="K564" t="s">
        <v>18</v>
      </c>
      <c r="L564" t="s">
        <v>26</v>
      </c>
      <c r="M564" t="s">
        <v>329</v>
      </c>
      <c r="N564">
        <f>SalesTable[[#This Row],[الكمية]]*SalesTable[[#This Row],[سعر الوحدة]]</f>
        <v>45000</v>
      </c>
      <c r="O564">
        <f>SalesTable[[#This Row],[الكمية]]*SalesTable[[#This Row],[سعر الوحدة]]*(1-SalesTable[[#This Row],[الخصم]])</f>
        <v>42750</v>
      </c>
    </row>
    <row r="565" spans="1:15" x14ac:dyDescent="0.3">
      <c r="A565">
        <v>10564</v>
      </c>
      <c r="B565" t="s">
        <v>28</v>
      </c>
      <c r="C565" s="3">
        <v>46186</v>
      </c>
      <c r="D565" t="s">
        <v>14</v>
      </c>
      <c r="E565" t="s">
        <v>15</v>
      </c>
      <c r="F565" t="s">
        <v>84</v>
      </c>
      <c r="G565" t="s">
        <v>120</v>
      </c>
      <c r="H565">
        <v>5</v>
      </c>
      <c r="I565">
        <v>650</v>
      </c>
      <c r="J565">
        <v>0.1</v>
      </c>
      <c r="K565" t="s">
        <v>55</v>
      </c>
      <c r="L565" t="s">
        <v>34</v>
      </c>
      <c r="M565" t="s">
        <v>257</v>
      </c>
      <c r="N565">
        <f>SalesTable[[#This Row],[الكمية]]*SalesTable[[#This Row],[سعر الوحدة]]</f>
        <v>3250</v>
      </c>
      <c r="O565">
        <f>SalesTable[[#This Row],[الكمية]]*SalesTable[[#This Row],[سعر الوحدة]]*(1-SalesTable[[#This Row],[الخصم]])</f>
        <v>2925</v>
      </c>
    </row>
    <row r="566" spans="1:15" x14ac:dyDescent="0.3">
      <c r="A566">
        <v>10565</v>
      </c>
      <c r="B566" t="s">
        <v>36</v>
      </c>
      <c r="C566" s="3">
        <v>46251</v>
      </c>
      <c r="D566" t="s">
        <v>81</v>
      </c>
      <c r="E566" t="s">
        <v>41</v>
      </c>
      <c r="F566" t="s">
        <v>31</v>
      </c>
      <c r="G566" t="s">
        <v>54</v>
      </c>
      <c r="H566">
        <v>1</v>
      </c>
      <c r="I566">
        <v>2200</v>
      </c>
      <c r="J566">
        <v>0.15</v>
      </c>
      <c r="K566" t="s">
        <v>18</v>
      </c>
      <c r="L566" t="s">
        <v>26</v>
      </c>
      <c r="M566" t="s">
        <v>343</v>
      </c>
      <c r="N566">
        <f>SalesTable[[#This Row],[الكمية]]*SalesTable[[#This Row],[سعر الوحدة]]</f>
        <v>2200</v>
      </c>
      <c r="O566">
        <f>SalesTable[[#This Row],[الكمية]]*SalesTable[[#This Row],[سعر الوحدة]]*(1-SalesTable[[#This Row],[الخصم]])</f>
        <v>1870</v>
      </c>
    </row>
    <row r="567" spans="1:15" x14ac:dyDescent="0.3">
      <c r="A567">
        <v>10566</v>
      </c>
      <c r="B567" t="s">
        <v>44</v>
      </c>
      <c r="C567" s="3">
        <v>46266</v>
      </c>
      <c r="D567" t="s">
        <v>110</v>
      </c>
      <c r="E567" t="s">
        <v>46</v>
      </c>
      <c r="F567" t="s">
        <v>84</v>
      </c>
      <c r="G567" t="s">
        <v>120</v>
      </c>
      <c r="H567">
        <v>3</v>
      </c>
      <c r="I567">
        <v>450</v>
      </c>
      <c r="J567">
        <v>0.05</v>
      </c>
      <c r="K567" t="s">
        <v>18</v>
      </c>
      <c r="L567" t="s">
        <v>47</v>
      </c>
      <c r="M567" t="s">
        <v>301</v>
      </c>
      <c r="N567">
        <f>SalesTable[[#This Row],[الكمية]]*SalesTable[[#This Row],[سعر الوحدة]]</f>
        <v>1350</v>
      </c>
      <c r="O567">
        <f>SalesTable[[#This Row],[الكمية]]*SalesTable[[#This Row],[سعر الوحدة]]*(1-SalesTable[[#This Row],[الخصم]])</f>
        <v>1282.5</v>
      </c>
    </row>
    <row r="568" spans="1:15" x14ac:dyDescent="0.3">
      <c r="A568">
        <v>10567</v>
      </c>
      <c r="B568" t="s">
        <v>112</v>
      </c>
      <c r="C568" s="3">
        <v>46092</v>
      </c>
      <c r="D568" t="s">
        <v>104</v>
      </c>
      <c r="E568" t="s">
        <v>23</v>
      </c>
      <c r="F568" t="s">
        <v>84</v>
      </c>
      <c r="G568" t="s">
        <v>113</v>
      </c>
      <c r="H568">
        <v>7</v>
      </c>
      <c r="I568">
        <v>28000</v>
      </c>
      <c r="J568">
        <v>0.15</v>
      </c>
      <c r="K568" t="s">
        <v>33</v>
      </c>
      <c r="L568" t="s">
        <v>26</v>
      </c>
      <c r="M568" t="s">
        <v>256</v>
      </c>
      <c r="N568">
        <f>SalesTable[[#This Row],[الكمية]]*SalesTable[[#This Row],[سعر الوحدة]]</f>
        <v>196000</v>
      </c>
      <c r="O568">
        <f>SalesTable[[#This Row],[الكمية]]*SalesTable[[#This Row],[سعر الوحدة]]*(1-SalesTable[[#This Row],[الخصم]])</f>
        <v>166600</v>
      </c>
    </row>
    <row r="569" spans="1:15" x14ac:dyDescent="0.3">
      <c r="A569">
        <v>10568</v>
      </c>
      <c r="B569" t="s">
        <v>21</v>
      </c>
      <c r="C569" s="3">
        <v>46149</v>
      </c>
      <c r="D569" t="s">
        <v>29</v>
      </c>
      <c r="E569" t="s">
        <v>30</v>
      </c>
      <c r="F569" t="s">
        <v>31</v>
      </c>
      <c r="G569" t="s">
        <v>77</v>
      </c>
      <c r="H569">
        <v>10</v>
      </c>
      <c r="I569">
        <v>7500</v>
      </c>
      <c r="J569">
        <v>0.15</v>
      </c>
      <c r="K569" t="s">
        <v>55</v>
      </c>
      <c r="L569" t="s">
        <v>19</v>
      </c>
      <c r="M569" t="s">
        <v>315</v>
      </c>
      <c r="N569">
        <f>SalesTable[[#This Row],[الكمية]]*SalesTable[[#This Row],[سعر الوحدة]]</f>
        <v>75000</v>
      </c>
      <c r="O569">
        <f>SalesTable[[#This Row],[الكمية]]*SalesTable[[#This Row],[سعر الوحدة]]*(1-SalesTable[[#This Row],[الخصم]])</f>
        <v>63750</v>
      </c>
    </row>
    <row r="570" spans="1:15" x14ac:dyDescent="0.3">
      <c r="A570">
        <v>10569</v>
      </c>
      <c r="B570" t="s">
        <v>44</v>
      </c>
      <c r="C570" s="3">
        <v>46366</v>
      </c>
      <c r="D570" t="s">
        <v>40</v>
      </c>
      <c r="E570" t="s">
        <v>41</v>
      </c>
      <c r="F570" t="s">
        <v>84</v>
      </c>
      <c r="G570" t="s">
        <v>85</v>
      </c>
      <c r="H570">
        <v>10</v>
      </c>
      <c r="I570">
        <v>150</v>
      </c>
      <c r="J570">
        <v>0</v>
      </c>
      <c r="K570" t="s">
        <v>33</v>
      </c>
      <c r="L570" t="s">
        <v>47</v>
      </c>
      <c r="M570" t="s">
        <v>276</v>
      </c>
      <c r="N570">
        <f>SalesTable[[#This Row],[الكمية]]*SalesTable[[#This Row],[سعر الوحدة]]</f>
        <v>1500</v>
      </c>
      <c r="O570">
        <f>SalesTable[[#This Row],[الكمية]]*SalesTable[[#This Row],[سعر الوحدة]]*(1-SalesTable[[#This Row],[الخصم]])</f>
        <v>1500</v>
      </c>
    </row>
    <row r="571" spans="1:15" x14ac:dyDescent="0.3">
      <c r="A571">
        <v>10570</v>
      </c>
      <c r="B571" t="s">
        <v>28</v>
      </c>
      <c r="C571" s="3">
        <v>46179</v>
      </c>
      <c r="D571" t="s">
        <v>70</v>
      </c>
      <c r="E571" t="s">
        <v>46</v>
      </c>
      <c r="F571" t="s">
        <v>31</v>
      </c>
      <c r="G571" t="s">
        <v>32</v>
      </c>
      <c r="H571">
        <v>6</v>
      </c>
      <c r="I571">
        <v>1800</v>
      </c>
      <c r="J571">
        <v>0.1</v>
      </c>
      <c r="K571" t="s">
        <v>55</v>
      </c>
      <c r="L571" t="s">
        <v>34</v>
      </c>
      <c r="M571" t="s">
        <v>152</v>
      </c>
      <c r="N571">
        <f>SalesTable[[#This Row],[الكمية]]*SalesTable[[#This Row],[سعر الوحدة]]</f>
        <v>10800</v>
      </c>
      <c r="O571">
        <f>SalesTable[[#This Row],[الكمية]]*SalesTable[[#This Row],[سعر الوحدة]]*(1-SalesTable[[#This Row],[الخصم]])</f>
        <v>9720</v>
      </c>
    </row>
    <row r="572" spans="1:15" x14ac:dyDescent="0.3">
      <c r="A572">
        <v>10571</v>
      </c>
      <c r="B572" t="s">
        <v>13</v>
      </c>
      <c r="C572" s="3">
        <v>46373</v>
      </c>
      <c r="D572" t="s">
        <v>95</v>
      </c>
      <c r="E572" t="s">
        <v>15</v>
      </c>
      <c r="F572" t="s">
        <v>64</v>
      </c>
      <c r="G572" t="s">
        <v>65</v>
      </c>
      <c r="H572">
        <v>1</v>
      </c>
      <c r="I572">
        <v>5200</v>
      </c>
      <c r="J572">
        <v>0.03</v>
      </c>
      <c r="K572" t="s">
        <v>38</v>
      </c>
      <c r="L572" t="s">
        <v>26</v>
      </c>
      <c r="M572" t="s">
        <v>325</v>
      </c>
      <c r="N572">
        <f>SalesTable[[#This Row],[الكمية]]*SalesTable[[#This Row],[سعر الوحدة]]</f>
        <v>5200</v>
      </c>
      <c r="O572">
        <f>SalesTable[[#This Row],[الكمية]]*SalesTable[[#This Row],[سعر الوحدة]]*(1-SalesTable[[#This Row],[الخصم]])</f>
        <v>5044</v>
      </c>
    </row>
    <row r="573" spans="1:15" x14ac:dyDescent="0.3">
      <c r="A573">
        <v>10572</v>
      </c>
      <c r="B573" t="s">
        <v>52</v>
      </c>
      <c r="C573" s="3">
        <v>46030</v>
      </c>
      <c r="D573" t="s">
        <v>104</v>
      </c>
      <c r="E573" t="s">
        <v>23</v>
      </c>
      <c r="F573" t="s">
        <v>24</v>
      </c>
      <c r="G573" t="s">
        <v>73</v>
      </c>
      <c r="H573">
        <v>10</v>
      </c>
      <c r="I573">
        <v>28000</v>
      </c>
      <c r="J573">
        <v>0.03</v>
      </c>
      <c r="K573" t="s">
        <v>38</v>
      </c>
      <c r="L573" t="s">
        <v>19</v>
      </c>
      <c r="M573" t="s">
        <v>344</v>
      </c>
      <c r="N573">
        <f>SalesTable[[#This Row],[الكمية]]*SalesTable[[#This Row],[سعر الوحدة]]</f>
        <v>280000</v>
      </c>
      <c r="O573">
        <f>SalesTable[[#This Row],[الكمية]]*SalesTable[[#This Row],[سعر الوحدة]]*(1-SalesTable[[#This Row],[الخصم]])</f>
        <v>271600</v>
      </c>
    </row>
    <row r="574" spans="1:15" x14ac:dyDescent="0.3">
      <c r="A574">
        <v>10573</v>
      </c>
      <c r="B574" t="s">
        <v>21</v>
      </c>
      <c r="C574" s="3">
        <v>46131</v>
      </c>
      <c r="D574" t="s">
        <v>48</v>
      </c>
      <c r="E574" t="s">
        <v>30</v>
      </c>
      <c r="F574" t="s">
        <v>59</v>
      </c>
      <c r="G574" t="s">
        <v>60</v>
      </c>
      <c r="H574">
        <v>6</v>
      </c>
      <c r="I574">
        <v>9000</v>
      </c>
      <c r="J574">
        <v>0.03</v>
      </c>
      <c r="K574" t="s">
        <v>55</v>
      </c>
      <c r="L574" t="s">
        <v>34</v>
      </c>
      <c r="M574" t="s">
        <v>335</v>
      </c>
      <c r="N574">
        <f>SalesTable[[#This Row],[الكمية]]*SalesTable[[#This Row],[سعر الوحدة]]</f>
        <v>54000</v>
      </c>
      <c r="O574">
        <f>SalesTable[[#This Row],[الكمية]]*SalesTable[[#This Row],[سعر الوحدة]]*(1-SalesTable[[#This Row],[الخصم]])</f>
        <v>52380</v>
      </c>
    </row>
    <row r="575" spans="1:15" x14ac:dyDescent="0.3">
      <c r="A575">
        <v>10574</v>
      </c>
      <c r="B575" t="s">
        <v>21</v>
      </c>
      <c r="C575" s="3">
        <v>46045</v>
      </c>
      <c r="D575" t="s">
        <v>48</v>
      </c>
      <c r="E575" t="s">
        <v>30</v>
      </c>
      <c r="F575" t="s">
        <v>64</v>
      </c>
      <c r="G575" t="s">
        <v>71</v>
      </c>
      <c r="H575">
        <v>7</v>
      </c>
      <c r="I575">
        <v>9000</v>
      </c>
      <c r="J575">
        <v>0.1</v>
      </c>
      <c r="K575" t="s">
        <v>38</v>
      </c>
      <c r="L575" t="s">
        <v>26</v>
      </c>
      <c r="M575" t="s">
        <v>345</v>
      </c>
      <c r="N575">
        <f>SalesTable[[#This Row],[الكمية]]*SalesTable[[#This Row],[سعر الوحدة]]</f>
        <v>63000</v>
      </c>
      <c r="O575">
        <f>SalesTable[[#This Row],[الكمية]]*SalesTable[[#This Row],[سعر الوحدة]]*(1-SalesTable[[#This Row],[الخصم]])</f>
        <v>56700</v>
      </c>
    </row>
    <row r="576" spans="1:15" x14ac:dyDescent="0.3">
      <c r="A576">
        <v>10575</v>
      </c>
      <c r="B576" t="s">
        <v>28</v>
      </c>
      <c r="C576" s="3">
        <v>46261</v>
      </c>
      <c r="D576" t="s">
        <v>110</v>
      </c>
      <c r="E576" t="s">
        <v>46</v>
      </c>
      <c r="F576" t="s">
        <v>31</v>
      </c>
      <c r="G576" t="s">
        <v>77</v>
      </c>
      <c r="H576">
        <v>10</v>
      </c>
      <c r="I576">
        <v>450</v>
      </c>
      <c r="J576">
        <v>0.05</v>
      </c>
      <c r="K576" t="s">
        <v>18</v>
      </c>
      <c r="L576" t="s">
        <v>19</v>
      </c>
      <c r="M576" t="s">
        <v>292</v>
      </c>
      <c r="N576">
        <f>SalesTable[[#This Row],[الكمية]]*SalesTable[[#This Row],[سعر الوحدة]]</f>
        <v>4500</v>
      </c>
      <c r="O576">
        <f>SalesTable[[#This Row],[الكمية]]*SalesTable[[#This Row],[سعر الوحدة]]*(1-SalesTable[[#This Row],[الخصم]])</f>
        <v>4275</v>
      </c>
    </row>
    <row r="577" spans="1:15" x14ac:dyDescent="0.3">
      <c r="A577">
        <v>10576</v>
      </c>
      <c r="B577" t="s">
        <v>28</v>
      </c>
      <c r="C577" s="3">
        <v>46172</v>
      </c>
      <c r="D577" t="s">
        <v>14</v>
      </c>
      <c r="E577" t="s">
        <v>15</v>
      </c>
      <c r="F577" t="s">
        <v>87</v>
      </c>
      <c r="G577" t="s">
        <v>103</v>
      </c>
      <c r="H577">
        <v>6</v>
      </c>
      <c r="I577">
        <v>650</v>
      </c>
      <c r="J577">
        <v>0</v>
      </c>
      <c r="K577" t="s">
        <v>33</v>
      </c>
      <c r="L577" t="s">
        <v>26</v>
      </c>
      <c r="M577" t="s">
        <v>346</v>
      </c>
      <c r="N577">
        <f>SalesTable[[#This Row],[الكمية]]*SalesTable[[#This Row],[سعر الوحدة]]</f>
        <v>3900</v>
      </c>
      <c r="O577">
        <f>SalesTable[[#This Row],[الكمية]]*SalesTable[[#This Row],[سعر الوحدة]]*(1-SalesTable[[#This Row],[الخصم]])</f>
        <v>3900</v>
      </c>
    </row>
    <row r="578" spans="1:15" x14ac:dyDescent="0.3">
      <c r="A578">
        <v>10577</v>
      </c>
      <c r="B578" t="s">
        <v>21</v>
      </c>
      <c r="C578" s="3">
        <v>46068</v>
      </c>
      <c r="D578" t="s">
        <v>53</v>
      </c>
      <c r="E578" t="s">
        <v>15</v>
      </c>
      <c r="F578" t="s">
        <v>16</v>
      </c>
      <c r="G578" t="s">
        <v>79</v>
      </c>
      <c r="H578">
        <v>8</v>
      </c>
      <c r="I578">
        <v>3200</v>
      </c>
      <c r="J578">
        <v>0.1</v>
      </c>
      <c r="K578" t="s">
        <v>55</v>
      </c>
      <c r="L578" t="s">
        <v>26</v>
      </c>
      <c r="M578" t="s">
        <v>347</v>
      </c>
      <c r="N578">
        <f>SalesTable[[#This Row],[الكمية]]*SalesTable[[#This Row],[سعر الوحدة]]</f>
        <v>25600</v>
      </c>
      <c r="O578">
        <f>SalesTable[[#This Row],[الكمية]]*SalesTable[[#This Row],[سعر الوحدة]]*(1-SalesTable[[#This Row],[الخصم]])</f>
        <v>23040</v>
      </c>
    </row>
    <row r="579" spans="1:15" x14ac:dyDescent="0.3">
      <c r="A579">
        <v>10578</v>
      </c>
      <c r="B579" t="s">
        <v>52</v>
      </c>
      <c r="C579" s="3">
        <v>46193</v>
      </c>
      <c r="D579" t="s">
        <v>48</v>
      </c>
      <c r="E579" t="s">
        <v>30</v>
      </c>
      <c r="F579" t="s">
        <v>24</v>
      </c>
      <c r="G579" t="s">
        <v>25</v>
      </c>
      <c r="H579">
        <v>4</v>
      </c>
      <c r="I579">
        <v>9000</v>
      </c>
      <c r="J579">
        <v>0.1</v>
      </c>
      <c r="K579" t="s">
        <v>33</v>
      </c>
      <c r="L579" t="s">
        <v>47</v>
      </c>
      <c r="M579" t="s">
        <v>69</v>
      </c>
      <c r="N579">
        <f>SalesTable[[#This Row],[الكمية]]*SalesTable[[#This Row],[سعر الوحدة]]</f>
        <v>36000</v>
      </c>
      <c r="O579">
        <f>SalesTable[[#This Row],[الكمية]]*SalesTable[[#This Row],[سعر الوحدة]]*(1-SalesTable[[#This Row],[الخصم]])</f>
        <v>32400</v>
      </c>
    </row>
    <row r="580" spans="1:15" x14ac:dyDescent="0.3">
      <c r="A580">
        <v>10579</v>
      </c>
      <c r="B580" t="s">
        <v>52</v>
      </c>
      <c r="C580" s="3">
        <v>46143</v>
      </c>
      <c r="D580" t="s">
        <v>22</v>
      </c>
      <c r="E580" t="s">
        <v>23</v>
      </c>
      <c r="F580" t="s">
        <v>49</v>
      </c>
      <c r="G580" t="s">
        <v>122</v>
      </c>
      <c r="H580">
        <v>6</v>
      </c>
      <c r="I580">
        <v>25000</v>
      </c>
      <c r="J580">
        <v>0.05</v>
      </c>
      <c r="K580" t="s">
        <v>38</v>
      </c>
      <c r="L580" t="s">
        <v>19</v>
      </c>
      <c r="M580" t="s">
        <v>180</v>
      </c>
      <c r="N580">
        <f>SalesTable[[#This Row],[الكمية]]*SalesTable[[#This Row],[سعر الوحدة]]</f>
        <v>150000</v>
      </c>
      <c r="O580">
        <f>SalesTable[[#This Row],[الكمية]]*SalesTable[[#This Row],[سعر الوحدة]]*(1-SalesTable[[#This Row],[الخصم]])</f>
        <v>142500</v>
      </c>
    </row>
    <row r="581" spans="1:15" x14ac:dyDescent="0.3">
      <c r="A581">
        <v>10580</v>
      </c>
      <c r="B581" t="s">
        <v>13</v>
      </c>
      <c r="C581" s="3">
        <v>46100</v>
      </c>
      <c r="D581" t="s">
        <v>90</v>
      </c>
      <c r="E581" t="s">
        <v>91</v>
      </c>
      <c r="F581" t="s">
        <v>84</v>
      </c>
      <c r="G581" t="s">
        <v>120</v>
      </c>
      <c r="H581">
        <v>9</v>
      </c>
      <c r="I581">
        <v>6500</v>
      </c>
      <c r="J581">
        <v>0.05</v>
      </c>
      <c r="K581" t="s">
        <v>38</v>
      </c>
      <c r="L581" t="s">
        <v>47</v>
      </c>
      <c r="M581" t="s">
        <v>131</v>
      </c>
      <c r="N581">
        <f>SalesTable[[#This Row],[الكمية]]*SalesTable[[#This Row],[سعر الوحدة]]</f>
        <v>58500</v>
      </c>
      <c r="O581">
        <f>SalesTable[[#This Row],[الكمية]]*SalesTable[[#This Row],[سعر الوحدة]]*(1-SalesTable[[#This Row],[الخصم]])</f>
        <v>55575</v>
      </c>
    </row>
    <row r="582" spans="1:15" x14ac:dyDescent="0.3">
      <c r="A582">
        <v>10581</v>
      </c>
      <c r="B582" t="s">
        <v>13</v>
      </c>
      <c r="C582" s="3">
        <v>46236</v>
      </c>
      <c r="D582" t="s">
        <v>104</v>
      </c>
      <c r="E582" t="s">
        <v>23</v>
      </c>
      <c r="F582" t="s">
        <v>84</v>
      </c>
      <c r="G582" t="s">
        <v>113</v>
      </c>
      <c r="H582">
        <v>10</v>
      </c>
      <c r="I582">
        <v>28000</v>
      </c>
      <c r="J582">
        <v>0.15</v>
      </c>
      <c r="K582" t="s">
        <v>55</v>
      </c>
      <c r="L582" t="s">
        <v>26</v>
      </c>
      <c r="M582" t="s">
        <v>192</v>
      </c>
      <c r="N582">
        <f>SalesTable[[#This Row],[الكمية]]*SalesTable[[#This Row],[سعر الوحدة]]</f>
        <v>280000</v>
      </c>
      <c r="O582">
        <f>SalesTable[[#This Row],[الكمية]]*SalesTable[[#This Row],[سعر الوحدة]]*(1-SalesTable[[#This Row],[الخصم]])</f>
        <v>238000</v>
      </c>
    </row>
    <row r="583" spans="1:15" x14ac:dyDescent="0.3">
      <c r="A583">
        <v>10582</v>
      </c>
      <c r="B583" t="s">
        <v>13</v>
      </c>
      <c r="C583" s="3">
        <v>46357</v>
      </c>
      <c r="D583" t="s">
        <v>110</v>
      </c>
      <c r="E583" t="s">
        <v>46</v>
      </c>
      <c r="F583" t="s">
        <v>49</v>
      </c>
      <c r="G583" t="s">
        <v>98</v>
      </c>
      <c r="H583">
        <v>9</v>
      </c>
      <c r="I583">
        <v>450</v>
      </c>
      <c r="J583">
        <v>0.03</v>
      </c>
      <c r="K583" t="s">
        <v>55</v>
      </c>
      <c r="L583" t="s">
        <v>26</v>
      </c>
      <c r="M583" t="s">
        <v>131</v>
      </c>
      <c r="N583">
        <f>SalesTable[[#This Row],[الكمية]]*SalesTable[[#This Row],[سعر الوحدة]]</f>
        <v>4050</v>
      </c>
      <c r="O583">
        <f>SalesTable[[#This Row],[الكمية]]*SalesTable[[#This Row],[سعر الوحدة]]*(1-SalesTable[[#This Row],[الخصم]])</f>
        <v>3928.5</v>
      </c>
    </row>
    <row r="584" spans="1:15" x14ac:dyDescent="0.3">
      <c r="A584">
        <v>10583</v>
      </c>
      <c r="B584" t="s">
        <v>94</v>
      </c>
      <c r="C584" s="3">
        <v>46103</v>
      </c>
      <c r="D584" t="s">
        <v>110</v>
      </c>
      <c r="E584" t="s">
        <v>46</v>
      </c>
      <c r="F584" t="s">
        <v>64</v>
      </c>
      <c r="G584" t="s">
        <v>65</v>
      </c>
      <c r="H584">
        <v>3</v>
      </c>
      <c r="I584">
        <v>450</v>
      </c>
      <c r="J584">
        <v>0.15</v>
      </c>
      <c r="K584" t="s">
        <v>38</v>
      </c>
      <c r="L584" t="s">
        <v>19</v>
      </c>
      <c r="M584" t="s">
        <v>210</v>
      </c>
      <c r="N584">
        <f>SalesTable[[#This Row],[الكمية]]*SalesTable[[#This Row],[سعر الوحدة]]</f>
        <v>1350</v>
      </c>
      <c r="O584">
        <f>SalesTable[[#This Row],[الكمية]]*SalesTable[[#This Row],[سعر الوحدة]]*(1-SalesTable[[#This Row],[الخصم]])</f>
        <v>1147.5</v>
      </c>
    </row>
    <row r="585" spans="1:15" x14ac:dyDescent="0.3">
      <c r="A585">
        <v>10584</v>
      </c>
      <c r="B585" t="s">
        <v>28</v>
      </c>
      <c r="C585" s="3">
        <v>46186</v>
      </c>
      <c r="D585" t="s">
        <v>53</v>
      </c>
      <c r="E585" t="s">
        <v>15</v>
      </c>
      <c r="F585" t="s">
        <v>16</v>
      </c>
      <c r="G585" t="s">
        <v>96</v>
      </c>
      <c r="H585">
        <v>6</v>
      </c>
      <c r="I585">
        <v>3200</v>
      </c>
      <c r="J585">
        <v>0.03</v>
      </c>
      <c r="K585" t="s">
        <v>33</v>
      </c>
      <c r="L585" t="s">
        <v>47</v>
      </c>
      <c r="M585" t="s">
        <v>270</v>
      </c>
      <c r="N585">
        <f>SalesTable[[#This Row],[الكمية]]*SalesTable[[#This Row],[سعر الوحدة]]</f>
        <v>19200</v>
      </c>
      <c r="O585">
        <f>SalesTable[[#This Row],[الكمية]]*SalesTable[[#This Row],[سعر الوحدة]]*(1-SalesTable[[#This Row],[الخصم]])</f>
        <v>18624</v>
      </c>
    </row>
    <row r="586" spans="1:15" x14ac:dyDescent="0.3">
      <c r="A586">
        <v>10585</v>
      </c>
      <c r="B586" t="s">
        <v>112</v>
      </c>
      <c r="C586" s="3">
        <v>46117</v>
      </c>
      <c r="D586" t="s">
        <v>48</v>
      </c>
      <c r="E586" t="s">
        <v>30</v>
      </c>
      <c r="F586" t="s">
        <v>87</v>
      </c>
      <c r="G586" t="s">
        <v>101</v>
      </c>
      <c r="H586">
        <v>4</v>
      </c>
      <c r="I586">
        <v>9000</v>
      </c>
      <c r="J586">
        <v>0</v>
      </c>
      <c r="K586" t="s">
        <v>18</v>
      </c>
      <c r="L586" t="s">
        <v>34</v>
      </c>
      <c r="M586" t="s">
        <v>348</v>
      </c>
      <c r="N586">
        <f>SalesTable[[#This Row],[الكمية]]*SalesTable[[#This Row],[سعر الوحدة]]</f>
        <v>36000</v>
      </c>
      <c r="O586">
        <f>SalesTable[[#This Row],[الكمية]]*SalesTable[[#This Row],[سعر الوحدة]]*(1-SalesTable[[#This Row],[الخصم]])</f>
        <v>36000</v>
      </c>
    </row>
    <row r="587" spans="1:15" x14ac:dyDescent="0.3">
      <c r="A587">
        <v>10586</v>
      </c>
      <c r="B587" t="s">
        <v>28</v>
      </c>
      <c r="C587" s="3">
        <v>46206</v>
      </c>
      <c r="D587" t="s">
        <v>95</v>
      </c>
      <c r="E587" t="s">
        <v>15</v>
      </c>
      <c r="F587" t="s">
        <v>31</v>
      </c>
      <c r="G587" t="s">
        <v>77</v>
      </c>
      <c r="H587">
        <v>4</v>
      </c>
      <c r="I587">
        <v>5200</v>
      </c>
      <c r="J587">
        <v>0.03</v>
      </c>
      <c r="K587" t="s">
        <v>18</v>
      </c>
      <c r="L587" t="s">
        <v>47</v>
      </c>
      <c r="M587" t="s">
        <v>234</v>
      </c>
      <c r="N587">
        <f>SalesTable[[#This Row],[الكمية]]*SalesTable[[#This Row],[سعر الوحدة]]</f>
        <v>20800</v>
      </c>
      <c r="O587">
        <f>SalesTable[[#This Row],[الكمية]]*SalesTable[[#This Row],[سعر الوحدة]]*(1-SalesTable[[#This Row],[الخصم]])</f>
        <v>20176</v>
      </c>
    </row>
    <row r="588" spans="1:15" x14ac:dyDescent="0.3">
      <c r="A588">
        <v>10587</v>
      </c>
      <c r="B588" t="s">
        <v>36</v>
      </c>
      <c r="C588" s="3">
        <v>46274</v>
      </c>
      <c r="D588" t="s">
        <v>53</v>
      </c>
      <c r="E588" t="s">
        <v>15</v>
      </c>
      <c r="F588" t="s">
        <v>59</v>
      </c>
      <c r="G588" t="s">
        <v>75</v>
      </c>
      <c r="H588">
        <v>6</v>
      </c>
      <c r="I588">
        <v>3200</v>
      </c>
      <c r="J588">
        <v>0.03</v>
      </c>
      <c r="K588" t="s">
        <v>33</v>
      </c>
      <c r="L588" t="s">
        <v>26</v>
      </c>
      <c r="M588" t="s">
        <v>138</v>
      </c>
      <c r="N588">
        <f>SalesTable[[#This Row],[الكمية]]*SalesTable[[#This Row],[سعر الوحدة]]</f>
        <v>19200</v>
      </c>
      <c r="O588">
        <f>SalesTable[[#This Row],[الكمية]]*SalesTable[[#This Row],[سعر الوحدة]]*(1-SalesTable[[#This Row],[الخصم]])</f>
        <v>18624</v>
      </c>
    </row>
    <row r="589" spans="1:15" x14ac:dyDescent="0.3">
      <c r="A589">
        <v>10588</v>
      </c>
      <c r="B589" t="s">
        <v>52</v>
      </c>
      <c r="C589" s="3">
        <v>46234</v>
      </c>
      <c r="D589" t="s">
        <v>45</v>
      </c>
      <c r="E589" t="s">
        <v>46</v>
      </c>
      <c r="F589" t="s">
        <v>31</v>
      </c>
      <c r="G589" t="s">
        <v>54</v>
      </c>
      <c r="H589">
        <v>7</v>
      </c>
      <c r="I589">
        <v>1200</v>
      </c>
      <c r="J589">
        <v>0</v>
      </c>
      <c r="K589" t="s">
        <v>55</v>
      </c>
      <c r="L589" t="s">
        <v>26</v>
      </c>
      <c r="M589" t="s">
        <v>162</v>
      </c>
      <c r="N589">
        <f>SalesTable[[#This Row],[الكمية]]*SalesTable[[#This Row],[سعر الوحدة]]</f>
        <v>8400</v>
      </c>
      <c r="O589">
        <f>SalesTable[[#This Row],[الكمية]]*SalesTable[[#This Row],[سعر الوحدة]]*(1-SalesTable[[#This Row],[الخصم]])</f>
        <v>8400</v>
      </c>
    </row>
    <row r="590" spans="1:15" x14ac:dyDescent="0.3">
      <c r="A590">
        <v>10589</v>
      </c>
      <c r="B590" t="s">
        <v>67</v>
      </c>
      <c r="C590" s="3">
        <v>46257</v>
      </c>
      <c r="D590" t="s">
        <v>104</v>
      </c>
      <c r="E590" t="s">
        <v>23</v>
      </c>
      <c r="F590" t="s">
        <v>64</v>
      </c>
      <c r="G590" t="s">
        <v>65</v>
      </c>
      <c r="H590">
        <v>10</v>
      </c>
      <c r="I590">
        <v>28000</v>
      </c>
      <c r="J590">
        <v>7.0000000000000007E-2</v>
      </c>
      <c r="K590" t="s">
        <v>55</v>
      </c>
      <c r="L590" t="s">
        <v>47</v>
      </c>
      <c r="M590" t="s">
        <v>289</v>
      </c>
      <c r="N590">
        <f>SalesTable[[#This Row],[الكمية]]*SalesTable[[#This Row],[سعر الوحدة]]</f>
        <v>280000</v>
      </c>
      <c r="O590">
        <f>SalesTable[[#This Row],[الكمية]]*SalesTable[[#This Row],[سعر الوحدة]]*(1-SalesTable[[#This Row],[الخصم]])</f>
        <v>260399.99999999997</v>
      </c>
    </row>
    <row r="591" spans="1:15" x14ac:dyDescent="0.3">
      <c r="A591">
        <v>10590</v>
      </c>
      <c r="B591" t="s">
        <v>94</v>
      </c>
      <c r="C591" s="3">
        <v>46315</v>
      </c>
      <c r="D591" t="s">
        <v>40</v>
      </c>
      <c r="E591" t="s">
        <v>41</v>
      </c>
      <c r="F591" t="s">
        <v>24</v>
      </c>
      <c r="G591" t="s">
        <v>42</v>
      </c>
      <c r="H591">
        <v>6</v>
      </c>
      <c r="I591">
        <v>150</v>
      </c>
      <c r="J591">
        <v>7.0000000000000007E-2</v>
      </c>
      <c r="K591" t="s">
        <v>18</v>
      </c>
      <c r="L591" t="s">
        <v>19</v>
      </c>
      <c r="M591" t="s">
        <v>279</v>
      </c>
      <c r="N591">
        <f>SalesTable[[#This Row],[الكمية]]*SalesTable[[#This Row],[سعر الوحدة]]</f>
        <v>900</v>
      </c>
      <c r="O591">
        <f>SalesTable[[#This Row],[الكمية]]*SalesTable[[#This Row],[سعر الوحدة]]*(1-SalesTable[[#This Row],[الخصم]])</f>
        <v>837</v>
      </c>
    </row>
    <row r="592" spans="1:15" x14ac:dyDescent="0.3">
      <c r="A592">
        <v>10591</v>
      </c>
      <c r="B592" t="s">
        <v>36</v>
      </c>
      <c r="C592" s="3">
        <v>46043</v>
      </c>
      <c r="D592" t="s">
        <v>48</v>
      </c>
      <c r="E592" t="s">
        <v>30</v>
      </c>
      <c r="F592" t="s">
        <v>24</v>
      </c>
      <c r="G592" t="s">
        <v>73</v>
      </c>
      <c r="H592">
        <v>9</v>
      </c>
      <c r="I592">
        <v>9000</v>
      </c>
      <c r="J592">
        <v>0.1</v>
      </c>
      <c r="K592" t="s">
        <v>33</v>
      </c>
      <c r="L592" t="s">
        <v>19</v>
      </c>
      <c r="M592" t="s">
        <v>333</v>
      </c>
      <c r="N592">
        <f>SalesTable[[#This Row],[الكمية]]*SalesTable[[#This Row],[سعر الوحدة]]</f>
        <v>81000</v>
      </c>
      <c r="O592">
        <f>SalesTable[[#This Row],[الكمية]]*SalesTable[[#This Row],[سعر الوحدة]]*(1-SalesTable[[#This Row],[الخصم]])</f>
        <v>72900</v>
      </c>
    </row>
    <row r="593" spans="1:15" x14ac:dyDescent="0.3">
      <c r="A593">
        <v>10592</v>
      </c>
      <c r="B593" t="s">
        <v>62</v>
      </c>
      <c r="C593" s="3">
        <v>46108</v>
      </c>
      <c r="D593" t="s">
        <v>110</v>
      </c>
      <c r="E593" t="s">
        <v>46</v>
      </c>
      <c r="F593" t="s">
        <v>59</v>
      </c>
      <c r="G593" t="s">
        <v>105</v>
      </c>
      <c r="H593">
        <v>5</v>
      </c>
      <c r="I593">
        <v>450</v>
      </c>
      <c r="J593">
        <v>0.05</v>
      </c>
      <c r="K593" t="s">
        <v>33</v>
      </c>
      <c r="L593" t="s">
        <v>34</v>
      </c>
      <c r="M593" t="s">
        <v>149</v>
      </c>
      <c r="N593">
        <f>SalesTable[[#This Row],[الكمية]]*SalesTable[[#This Row],[سعر الوحدة]]</f>
        <v>2250</v>
      </c>
      <c r="O593">
        <f>SalesTable[[#This Row],[الكمية]]*SalesTable[[#This Row],[سعر الوحدة]]*(1-SalesTable[[#This Row],[الخصم]])</f>
        <v>2137.5</v>
      </c>
    </row>
    <row r="594" spans="1:15" x14ac:dyDescent="0.3">
      <c r="A594">
        <v>10593</v>
      </c>
      <c r="B594" t="s">
        <v>21</v>
      </c>
      <c r="C594" s="3">
        <v>46080</v>
      </c>
      <c r="D594" t="s">
        <v>81</v>
      </c>
      <c r="E594" t="s">
        <v>41</v>
      </c>
      <c r="F594" t="s">
        <v>64</v>
      </c>
      <c r="G594" t="s">
        <v>65</v>
      </c>
      <c r="H594">
        <v>8</v>
      </c>
      <c r="I594">
        <v>2200</v>
      </c>
      <c r="J594">
        <v>0</v>
      </c>
      <c r="K594" t="s">
        <v>55</v>
      </c>
      <c r="L594" t="s">
        <v>26</v>
      </c>
      <c r="M594" t="s">
        <v>334</v>
      </c>
      <c r="N594">
        <f>SalesTable[[#This Row],[الكمية]]*SalesTable[[#This Row],[سعر الوحدة]]</f>
        <v>17600</v>
      </c>
      <c r="O594">
        <f>SalesTable[[#This Row],[الكمية]]*SalesTable[[#This Row],[سعر الوحدة]]*(1-SalesTable[[#This Row],[الخصم]])</f>
        <v>17600</v>
      </c>
    </row>
    <row r="595" spans="1:15" x14ac:dyDescent="0.3">
      <c r="A595">
        <v>10594</v>
      </c>
      <c r="B595" t="s">
        <v>62</v>
      </c>
      <c r="C595" s="3">
        <v>46325</v>
      </c>
      <c r="D595" t="s">
        <v>29</v>
      </c>
      <c r="E595" t="s">
        <v>30</v>
      </c>
      <c r="F595" t="s">
        <v>49</v>
      </c>
      <c r="G595" t="s">
        <v>98</v>
      </c>
      <c r="H595">
        <v>1</v>
      </c>
      <c r="I595">
        <v>7500</v>
      </c>
      <c r="J595">
        <v>0.03</v>
      </c>
      <c r="K595" t="s">
        <v>55</v>
      </c>
      <c r="L595" t="s">
        <v>47</v>
      </c>
      <c r="M595" t="s">
        <v>207</v>
      </c>
      <c r="N595">
        <f>SalesTable[[#This Row],[الكمية]]*SalesTable[[#This Row],[سعر الوحدة]]</f>
        <v>7500</v>
      </c>
      <c r="O595">
        <f>SalesTable[[#This Row],[الكمية]]*SalesTable[[#This Row],[سعر الوحدة]]*(1-SalesTable[[#This Row],[الخصم]])</f>
        <v>7275</v>
      </c>
    </row>
    <row r="596" spans="1:15" x14ac:dyDescent="0.3">
      <c r="A596">
        <v>10595</v>
      </c>
      <c r="B596" t="s">
        <v>44</v>
      </c>
      <c r="C596" s="3">
        <v>46069</v>
      </c>
      <c r="D596" t="s">
        <v>110</v>
      </c>
      <c r="E596" t="s">
        <v>46</v>
      </c>
      <c r="F596" t="s">
        <v>49</v>
      </c>
      <c r="G596" t="s">
        <v>122</v>
      </c>
      <c r="H596">
        <v>3</v>
      </c>
      <c r="I596">
        <v>450</v>
      </c>
      <c r="J596">
        <v>0.15</v>
      </c>
      <c r="K596" t="s">
        <v>18</v>
      </c>
      <c r="L596" t="s">
        <v>47</v>
      </c>
      <c r="M596" t="s">
        <v>188</v>
      </c>
      <c r="N596">
        <f>SalesTable[[#This Row],[الكمية]]*SalesTable[[#This Row],[سعر الوحدة]]</f>
        <v>1350</v>
      </c>
      <c r="O596">
        <f>SalesTable[[#This Row],[الكمية]]*SalesTable[[#This Row],[سعر الوحدة]]*(1-SalesTable[[#This Row],[الخصم]])</f>
        <v>1147.5</v>
      </c>
    </row>
    <row r="597" spans="1:15" x14ac:dyDescent="0.3">
      <c r="A597">
        <v>10596</v>
      </c>
      <c r="B597" t="s">
        <v>112</v>
      </c>
      <c r="C597" s="3">
        <v>46216</v>
      </c>
      <c r="D597" t="s">
        <v>104</v>
      </c>
      <c r="E597" t="s">
        <v>23</v>
      </c>
      <c r="F597" t="s">
        <v>84</v>
      </c>
      <c r="G597" t="s">
        <v>113</v>
      </c>
      <c r="H597">
        <v>9</v>
      </c>
      <c r="I597">
        <v>28000</v>
      </c>
      <c r="J597">
        <v>0.1</v>
      </c>
      <c r="K597" t="s">
        <v>33</v>
      </c>
      <c r="L597" t="s">
        <v>19</v>
      </c>
      <c r="M597" t="s">
        <v>51</v>
      </c>
      <c r="N597">
        <f>SalesTable[[#This Row],[الكمية]]*SalesTable[[#This Row],[سعر الوحدة]]</f>
        <v>252000</v>
      </c>
      <c r="O597">
        <f>SalesTable[[#This Row],[الكمية]]*SalesTable[[#This Row],[سعر الوحدة]]*(1-SalesTable[[#This Row],[الخصم]])</f>
        <v>226800</v>
      </c>
    </row>
    <row r="598" spans="1:15" x14ac:dyDescent="0.3">
      <c r="A598">
        <v>10597</v>
      </c>
      <c r="B598" t="s">
        <v>112</v>
      </c>
      <c r="C598" s="3">
        <v>46114</v>
      </c>
      <c r="D598" t="s">
        <v>90</v>
      </c>
      <c r="E598" t="s">
        <v>91</v>
      </c>
      <c r="F598" t="s">
        <v>49</v>
      </c>
      <c r="G598" t="s">
        <v>122</v>
      </c>
      <c r="H598">
        <v>3</v>
      </c>
      <c r="I598">
        <v>6500</v>
      </c>
      <c r="J598">
        <v>0.03</v>
      </c>
      <c r="K598" t="s">
        <v>18</v>
      </c>
      <c r="L598" t="s">
        <v>47</v>
      </c>
      <c r="M598" t="s">
        <v>72</v>
      </c>
      <c r="N598">
        <f>SalesTable[[#This Row],[الكمية]]*SalesTable[[#This Row],[سعر الوحدة]]</f>
        <v>19500</v>
      </c>
      <c r="O598">
        <f>SalesTable[[#This Row],[الكمية]]*SalesTable[[#This Row],[سعر الوحدة]]*(1-SalesTable[[#This Row],[الخصم]])</f>
        <v>18915</v>
      </c>
    </row>
    <row r="599" spans="1:15" x14ac:dyDescent="0.3">
      <c r="A599">
        <v>10598</v>
      </c>
      <c r="B599" t="s">
        <v>112</v>
      </c>
      <c r="C599" s="3">
        <v>46126</v>
      </c>
      <c r="D599" t="s">
        <v>110</v>
      </c>
      <c r="E599" t="s">
        <v>46</v>
      </c>
      <c r="F599" t="s">
        <v>59</v>
      </c>
      <c r="G599" t="s">
        <v>105</v>
      </c>
      <c r="H599">
        <v>3</v>
      </c>
      <c r="I599">
        <v>450</v>
      </c>
      <c r="J599">
        <v>0</v>
      </c>
      <c r="K599" t="s">
        <v>18</v>
      </c>
      <c r="L599" t="s">
        <v>34</v>
      </c>
      <c r="M599" t="s">
        <v>265</v>
      </c>
      <c r="N599">
        <f>SalesTable[[#This Row],[الكمية]]*SalesTable[[#This Row],[سعر الوحدة]]</f>
        <v>1350</v>
      </c>
      <c r="O599">
        <f>SalesTable[[#This Row],[الكمية]]*SalesTable[[#This Row],[سعر الوحدة]]*(1-SalesTable[[#This Row],[الخصم]])</f>
        <v>1350</v>
      </c>
    </row>
    <row r="600" spans="1:15" x14ac:dyDescent="0.3">
      <c r="A600">
        <v>10599</v>
      </c>
      <c r="B600" t="s">
        <v>94</v>
      </c>
      <c r="C600" s="3">
        <v>46275</v>
      </c>
      <c r="D600" t="s">
        <v>48</v>
      </c>
      <c r="E600" t="s">
        <v>30</v>
      </c>
      <c r="F600" t="s">
        <v>59</v>
      </c>
      <c r="G600" t="s">
        <v>105</v>
      </c>
      <c r="H600">
        <v>9</v>
      </c>
      <c r="I600">
        <v>9000</v>
      </c>
      <c r="J600">
        <v>0</v>
      </c>
      <c r="K600" t="s">
        <v>55</v>
      </c>
      <c r="L600" t="s">
        <v>26</v>
      </c>
      <c r="M600" t="s">
        <v>208</v>
      </c>
      <c r="N600">
        <f>SalesTable[[#This Row],[الكمية]]*SalesTable[[#This Row],[سعر الوحدة]]</f>
        <v>81000</v>
      </c>
      <c r="O600">
        <f>SalesTable[[#This Row],[الكمية]]*SalesTable[[#This Row],[سعر الوحدة]]*(1-SalesTable[[#This Row],[الخصم]])</f>
        <v>81000</v>
      </c>
    </row>
    <row r="601" spans="1:15" x14ac:dyDescent="0.3">
      <c r="A601">
        <v>10600</v>
      </c>
      <c r="B601" t="s">
        <v>94</v>
      </c>
      <c r="C601" s="3">
        <v>46026</v>
      </c>
      <c r="D601" t="s">
        <v>48</v>
      </c>
      <c r="E601" t="s">
        <v>30</v>
      </c>
      <c r="F601" t="s">
        <v>84</v>
      </c>
      <c r="G601" t="s">
        <v>85</v>
      </c>
      <c r="H601">
        <v>2</v>
      </c>
      <c r="I601">
        <v>9000</v>
      </c>
      <c r="J601">
        <v>0.1</v>
      </c>
      <c r="K601" t="s">
        <v>55</v>
      </c>
      <c r="L601" t="s">
        <v>34</v>
      </c>
      <c r="M601" t="s">
        <v>210</v>
      </c>
      <c r="N601">
        <f>SalesTable[[#This Row],[الكمية]]*SalesTable[[#This Row],[سعر الوحدة]]</f>
        <v>18000</v>
      </c>
      <c r="O601">
        <f>SalesTable[[#This Row],[الكمية]]*SalesTable[[#This Row],[سعر الوحدة]]*(1-SalesTable[[#This Row],[الخصم]])</f>
        <v>16200</v>
      </c>
    </row>
    <row r="602" spans="1:15" x14ac:dyDescent="0.3">
      <c r="A602">
        <v>10601</v>
      </c>
      <c r="B602" t="s">
        <v>28</v>
      </c>
      <c r="C602" s="3">
        <v>46357</v>
      </c>
      <c r="D602" t="s">
        <v>68</v>
      </c>
      <c r="E602" t="s">
        <v>46</v>
      </c>
      <c r="F602" t="s">
        <v>31</v>
      </c>
      <c r="G602" t="s">
        <v>54</v>
      </c>
      <c r="H602">
        <v>3</v>
      </c>
      <c r="I602">
        <v>1400</v>
      </c>
      <c r="J602">
        <v>0.03</v>
      </c>
      <c r="K602" t="s">
        <v>38</v>
      </c>
      <c r="L602" t="s">
        <v>19</v>
      </c>
      <c r="M602" t="s">
        <v>238</v>
      </c>
      <c r="N602">
        <f>SalesTable[[#This Row],[الكمية]]*SalesTable[[#This Row],[سعر الوحدة]]</f>
        <v>4200</v>
      </c>
      <c r="O602">
        <f>SalesTable[[#This Row],[الكمية]]*SalesTable[[#This Row],[سعر الوحدة]]*(1-SalesTable[[#This Row],[الخصم]])</f>
        <v>4074</v>
      </c>
    </row>
    <row r="603" spans="1:15" x14ac:dyDescent="0.3">
      <c r="A603">
        <v>10602</v>
      </c>
      <c r="B603" t="s">
        <v>28</v>
      </c>
      <c r="C603" s="3">
        <v>46078</v>
      </c>
      <c r="D603" t="s">
        <v>68</v>
      </c>
      <c r="E603" t="s">
        <v>46</v>
      </c>
      <c r="F603" t="s">
        <v>24</v>
      </c>
      <c r="G603" t="s">
        <v>57</v>
      </c>
      <c r="H603">
        <v>6</v>
      </c>
      <c r="I603">
        <v>1400</v>
      </c>
      <c r="J603">
        <v>0</v>
      </c>
      <c r="K603" t="s">
        <v>33</v>
      </c>
      <c r="L603" t="s">
        <v>26</v>
      </c>
      <c r="M603" t="s">
        <v>300</v>
      </c>
      <c r="N603">
        <f>SalesTable[[#This Row],[الكمية]]*SalesTable[[#This Row],[سعر الوحدة]]</f>
        <v>8400</v>
      </c>
      <c r="O603">
        <f>SalesTable[[#This Row],[الكمية]]*SalesTable[[#This Row],[سعر الوحدة]]*(1-SalesTable[[#This Row],[الخصم]])</f>
        <v>8400</v>
      </c>
    </row>
    <row r="604" spans="1:15" x14ac:dyDescent="0.3">
      <c r="A604">
        <v>10603</v>
      </c>
      <c r="B604" t="s">
        <v>21</v>
      </c>
      <c r="C604" s="3">
        <v>46113</v>
      </c>
      <c r="D604" t="s">
        <v>14</v>
      </c>
      <c r="E604" t="s">
        <v>15</v>
      </c>
      <c r="F604" t="s">
        <v>87</v>
      </c>
      <c r="G604" t="s">
        <v>103</v>
      </c>
      <c r="H604">
        <v>10</v>
      </c>
      <c r="I604">
        <v>650</v>
      </c>
      <c r="J604">
        <v>0.1</v>
      </c>
      <c r="K604" t="s">
        <v>33</v>
      </c>
      <c r="L604" t="s">
        <v>34</v>
      </c>
      <c r="M604" t="s">
        <v>330</v>
      </c>
      <c r="N604">
        <f>SalesTable[[#This Row],[الكمية]]*SalesTable[[#This Row],[سعر الوحدة]]</f>
        <v>6500</v>
      </c>
      <c r="O604">
        <f>SalesTable[[#This Row],[الكمية]]*SalesTable[[#This Row],[سعر الوحدة]]*(1-SalesTable[[#This Row],[الخصم]])</f>
        <v>5850</v>
      </c>
    </row>
    <row r="605" spans="1:15" x14ac:dyDescent="0.3">
      <c r="A605">
        <v>10604</v>
      </c>
      <c r="B605" t="s">
        <v>44</v>
      </c>
      <c r="C605" s="3">
        <v>46241</v>
      </c>
      <c r="D605" t="s">
        <v>104</v>
      </c>
      <c r="E605" t="s">
        <v>23</v>
      </c>
      <c r="F605" t="s">
        <v>87</v>
      </c>
      <c r="G605" t="s">
        <v>88</v>
      </c>
      <c r="H605">
        <v>6</v>
      </c>
      <c r="I605">
        <v>28000</v>
      </c>
      <c r="J605">
        <v>7.0000000000000007E-2</v>
      </c>
      <c r="K605" t="s">
        <v>18</v>
      </c>
      <c r="L605" t="s">
        <v>34</v>
      </c>
      <c r="M605" t="s">
        <v>293</v>
      </c>
      <c r="N605">
        <f>SalesTable[[#This Row],[الكمية]]*SalesTable[[#This Row],[سعر الوحدة]]</f>
        <v>168000</v>
      </c>
      <c r="O605">
        <f>SalesTable[[#This Row],[الكمية]]*SalesTable[[#This Row],[سعر الوحدة]]*(1-SalesTable[[#This Row],[الخصم]])</f>
        <v>156240</v>
      </c>
    </row>
    <row r="606" spans="1:15" x14ac:dyDescent="0.3">
      <c r="A606">
        <v>10605</v>
      </c>
      <c r="B606" t="s">
        <v>36</v>
      </c>
      <c r="C606" s="3">
        <v>46291</v>
      </c>
      <c r="D606" t="s">
        <v>37</v>
      </c>
      <c r="E606" t="s">
        <v>23</v>
      </c>
      <c r="F606" t="s">
        <v>16</v>
      </c>
      <c r="G606" t="s">
        <v>79</v>
      </c>
      <c r="H606">
        <v>6</v>
      </c>
      <c r="I606">
        <v>32000</v>
      </c>
      <c r="J606">
        <v>0.1</v>
      </c>
      <c r="K606" t="s">
        <v>55</v>
      </c>
      <c r="L606" t="s">
        <v>26</v>
      </c>
      <c r="M606" t="s">
        <v>92</v>
      </c>
      <c r="N606">
        <f>SalesTable[[#This Row],[الكمية]]*SalesTable[[#This Row],[سعر الوحدة]]</f>
        <v>192000</v>
      </c>
      <c r="O606">
        <f>SalesTable[[#This Row],[الكمية]]*SalesTable[[#This Row],[سعر الوحدة]]*(1-SalesTable[[#This Row],[الخصم]])</f>
        <v>172800</v>
      </c>
    </row>
    <row r="607" spans="1:15" x14ac:dyDescent="0.3">
      <c r="A607">
        <v>10606</v>
      </c>
      <c r="B607" t="s">
        <v>52</v>
      </c>
      <c r="C607" s="3">
        <v>46241</v>
      </c>
      <c r="D607" t="s">
        <v>104</v>
      </c>
      <c r="E607" t="s">
        <v>23</v>
      </c>
      <c r="F607" t="s">
        <v>16</v>
      </c>
      <c r="G607" t="s">
        <v>189</v>
      </c>
      <c r="H607">
        <v>10</v>
      </c>
      <c r="I607">
        <v>28000</v>
      </c>
      <c r="J607">
        <v>0.15</v>
      </c>
      <c r="K607" t="s">
        <v>38</v>
      </c>
      <c r="L607" t="s">
        <v>34</v>
      </c>
      <c r="M607" t="s">
        <v>258</v>
      </c>
      <c r="N607">
        <f>SalesTable[[#This Row],[الكمية]]*SalesTable[[#This Row],[سعر الوحدة]]</f>
        <v>280000</v>
      </c>
      <c r="O607">
        <f>SalesTable[[#This Row],[الكمية]]*SalesTable[[#This Row],[سعر الوحدة]]*(1-SalesTable[[#This Row],[الخصم]])</f>
        <v>238000</v>
      </c>
    </row>
    <row r="608" spans="1:15" x14ac:dyDescent="0.3">
      <c r="A608">
        <v>10607</v>
      </c>
      <c r="B608" t="s">
        <v>62</v>
      </c>
      <c r="C608" s="3">
        <v>46289</v>
      </c>
      <c r="D608" t="s">
        <v>95</v>
      </c>
      <c r="E608" t="s">
        <v>15</v>
      </c>
      <c r="F608" t="s">
        <v>49</v>
      </c>
      <c r="G608" t="s">
        <v>50</v>
      </c>
      <c r="H608">
        <v>10</v>
      </c>
      <c r="I608">
        <v>5200</v>
      </c>
      <c r="J608">
        <v>0.1</v>
      </c>
      <c r="K608" t="s">
        <v>33</v>
      </c>
      <c r="L608" t="s">
        <v>47</v>
      </c>
      <c r="M608" t="s">
        <v>159</v>
      </c>
      <c r="N608">
        <f>SalesTable[[#This Row],[الكمية]]*SalesTable[[#This Row],[سعر الوحدة]]</f>
        <v>52000</v>
      </c>
      <c r="O608">
        <f>SalesTable[[#This Row],[الكمية]]*SalesTable[[#This Row],[سعر الوحدة]]*(1-SalesTable[[#This Row],[الخصم]])</f>
        <v>46800</v>
      </c>
    </row>
    <row r="609" spans="1:15" x14ac:dyDescent="0.3">
      <c r="A609">
        <v>10608</v>
      </c>
      <c r="B609" t="s">
        <v>28</v>
      </c>
      <c r="C609" s="3">
        <v>46083</v>
      </c>
      <c r="D609" t="s">
        <v>90</v>
      </c>
      <c r="E609" t="s">
        <v>91</v>
      </c>
      <c r="F609" t="s">
        <v>31</v>
      </c>
      <c r="G609" t="s">
        <v>77</v>
      </c>
      <c r="H609">
        <v>5</v>
      </c>
      <c r="I609">
        <v>6500</v>
      </c>
      <c r="J609">
        <v>0.03</v>
      </c>
      <c r="K609" t="s">
        <v>18</v>
      </c>
      <c r="L609" t="s">
        <v>47</v>
      </c>
      <c r="M609" t="s">
        <v>151</v>
      </c>
      <c r="N609">
        <f>SalesTable[[#This Row],[الكمية]]*SalesTable[[#This Row],[سعر الوحدة]]</f>
        <v>32500</v>
      </c>
      <c r="O609">
        <f>SalesTable[[#This Row],[الكمية]]*SalesTable[[#This Row],[سعر الوحدة]]*(1-SalesTable[[#This Row],[الخصم]])</f>
        <v>31525</v>
      </c>
    </row>
    <row r="610" spans="1:15" x14ac:dyDescent="0.3">
      <c r="A610">
        <v>10609</v>
      </c>
      <c r="B610" t="s">
        <v>28</v>
      </c>
      <c r="C610" s="3">
        <v>46193</v>
      </c>
      <c r="D610" t="s">
        <v>81</v>
      </c>
      <c r="E610" t="s">
        <v>41</v>
      </c>
      <c r="F610" t="s">
        <v>31</v>
      </c>
      <c r="G610" t="s">
        <v>77</v>
      </c>
      <c r="H610">
        <v>7</v>
      </c>
      <c r="I610">
        <v>2200</v>
      </c>
      <c r="J610">
        <v>7.0000000000000007E-2</v>
      </c>
      <c r="K610" t="s">
        <v>38</v>
      </c>
      <c r="L610" t="s">
        <v>26</v>
      </c>
      <c r="M610" t="s">
        <v>329</v>
      </c>
      <c r="N610">
        <f>SalesTable[[#This Row],[الكمية]]*SalesTable[[#This Row],[سعر الوحدة]]</f>
        <v>15400</v>
      </c>
      <c r="O610">
        <f>SalesTable[[#This Row],[الكمية]]*SalesTable[[#This Row],[سعر الوحدة]]*(1-SalesTable[[#This Row],[الخصم]])</f>
        <v>14321.999999999998</v>
      </c>
    </row>
    <row r="611" spans="1:15" x14ac:dyDescent="0.3">
      <c r="A611">
        <v>10610</v>
      </c>
      <c r="B611" t="s">
        <v>44</v>
      </c>
      <c r="C611" s="3">
        <v>46180</v>
      </c>
      <c r="D611" t="s">
        <v>14</v>
      </c>
      <c r="E611" t="s">
        <v>15</v>
      </c>
      <c r="F611" t="s">
        <v>31</v>
      </c>
      <c r="G611" t="s">
        <v>77</v>
      </c>
      <c r="H611">
        <v>5</v>
      </c>
      <c r="I611">
        <v>650</v>
      </c>
      <c r="J611">
        <v>0.05</v>
      </c>
      <c r="K611" t="s">
        <v>38</v>
      </c>
      <c r="L611" t="s">
        <v>34</v>
      </c>
      <c r="M611" t="s">
        <v>242</v>
      </c>
      <c r="N611">
        <f>SalesTable[[#This Row],[الكمية]]*SalesTable[[#This Row],[سعر الوحدة]]</f>
        <v>3250</v>
      </c>
      <c r="O611">
        <f>SalesTable[[#This Row],[الكمية]]*SalesTable[[#This Row],[سعر الوحدة]]*(1-SalesTable[[#This Row],[الخصم]])</f>
        <v>3087.5</v>
      </c>
    </row>
    <row r="612" spans="1:15" x14ac:dyDescent="0.3">
      <c r="A612">
        <v>10611</v>
      </c>
      <c r="B612" t="s">
        <v>94</v>
      </c>
      <c r="C612" s="3">
        <v>46338</v>
      </c>
      <c r="D612" t="s">
        <v>104</v>
      </c>
      <c r="E612" t="s">
        <v>23</v>
      </c>
      <c r="F612" t="s">
        <v>49</v>
      </c>
      <c r="G612" t="s">
        <v>98</v>
      </c>
      <c r="H612">
        <v>7</v>
      </c>
      <c r="I612">
        <v>28000</v>
      </c>
      <c r="J612">
        <v>0.15</v>
      </c>
      <c r="K612" t="s">
        <v>18</v>
      </c>
      <c r="L612" t="s">
        <v>26</v>
      </c>
      <c r="M612" t="s">
        <v>317</v>
      </c>
      <c r="N612">
        <f>SalesTable[[#This Row],[الكمية]]*SalesTable[[#This Row],[سعر الوحدة]]</f>
        <v>196000</v>
      </c>
      <c r="O612">
        <f>SalesTable[[#This Row],[الكمية]]*SalesTable[[#This Row],[سعر الوحدة]]*(1-SalesTable[[#This Row],[الخصم]])</f>
        <v>166600</v>
      </c>
    </row>
    <row r="613" spans="1:15" x14ac:dyDescent="0.3">
      <c r="A613">
        <v>10612</v>
      </c>
      <c r="B613" t="s">
        <v>28</v>
      </c>
      <c r="C613" s="3">
        <v>46353</v>
      </c>
      <c r="D613" t="s">
        <v>70</v>
      </c>
      <c r="E613" t="s">
        <v>46</v>
      </c>
      <c r="F613" t="s">
        <v>49</v>
      </c>
      <c r="G613" t="s">
        <v>122</v>
      </c>
      <c r="H613">
        <v>8</v>
      </c>
      <c r="I613">
        <v>1800</v>
      </c>
      <c r="J613">
        <v>7.0000000000000007E-2</v>
      </c>
      <c r="K613" t="s">
        <v>55</v>
      </c>
      <c r="L613" t="s">
        <v>47</v>
      </c>
      <c r="M613" t="s">
        <v>196</v>
      </c>
      <c r="N613">
        <f>SalesTable[[#This Row],[الكمية]]*SalesTable[[#This Row],[سعر الوحدة]]</f>
        <v>14400</v>
      </c>
      <c r="O613">
        <f>SalesTable[[#This Row],[الكمية]]*SalesTable[[#This Row],[سعر الوحدة]]*(1-SalesTable[[#This Row],[الخصم]])</f>
        <v>13392</v>
      </c>
    </row>
    <row r="614" spans="1:15" x14ac:dyDescent="0.3">
      <c r="A614">
        <v>10613</v>
      </c>
      <c r="B614" t="s">
        <v>36</v>
      </c>
      <c r="C614" s="3">
        <v>46051</v>
      </c>
      <c r="D614" t="s">
        <v>14</v>
      </c>
      <c r="E614" t="s">
        <v>15</v>
      </c>
      <c r="F614" t="s">
        <v>59</v>
      </c>
      <c r="G614" t="s">
        <v>75</v>
      </c>
      <c r="H614">
        <v>6</v>
      </c>
      <c r="I614">
        <v>650</v>
      </c>
      <c r="J614">
        <v>7.0000000000000007E-2</v>
      </c>
      <c r="K614" t="s">
        <v>38</v>
      </c>
      <c r="L614" t="s">
        <v>34</v>
      </c>
      <c r="M614" t="s">
        <v>349</v>
      </c>
      <c r="N614">
        <f>SalesTable[[#This Row],[الكمية]]*SalesTable[[#This Row],[سعر الوحدة]]</f>
        <v>3900</v>
      </c>
      <c r="O614">
        <f>SalesTable[[#This Row],[الكمية]]*SalesTable[[#This Row],[سعر الوحدة]]*(1-SalesTable[[#This Row],[الخصم]])</f>
        <v>3626.9999999999995</v>
      </c>
    </row>
    <row r="615" spans="1:15" x14ac:dyDescent="0.3">
      <c r="A615">
        <v>10614</v>
      </c>
      <c r="B615" t="s">
        <v>67</v>
      </c>
      <c r="C615" s="3">
        <v>46204</v>
      </c>
      <c r="D615" t="s">
        <v>53</v>
      </c>
      <c r="E615" t="s">
        <v>15</v>
      </c>
      <c r="F615" t="s">
        <v>24</v>
      </c>
      <c r="G615" t="s">
        <v>73</v>
      </c>
      <c r="H615">
        <v>10</v>
      </c>
      <c r="I615">
        <v>3200</v>
      </c>
      <c r="J615">
        <v>0.15</v>
      </c>
      <c r="K615" t="s">
        <v>18</v>
      </c>
      <c r="L615" t="s">
        <v>26</v>
      </c>
      <c r="M615" t="s">
        <v>350</v>
      </c>
      <c r="N615">
        <f>SalesTable[[#This Row],[الكمية]]*SalesTable[[#This Row],[سعر الوحدة]]</f>
        <v>32000</v>
      </c>
      <c r="O615">
        <f>SalesTable[[#This Row],[الكمية]]*SalesTable[[#This Row],[سعر الوحدة]]*(1-SalesTable[[#This Row],[الخصم]])</f>
        <v>27200</v>
      </c>
    </row>
    <row r="616" spans="1:15" x14ac:dyDescent="0.3">
      <c r="A616">
        <v>10615</v>
      </c>
      <c r="B616" t="s">
        <v>21</v>
      </c>
      <c r="C616" s="3">
        <v>46107</v>
      </c>
      <c r="D616" t="s">
        <v>68</v>
      </c>
      <c r="E616" t="s">
        <v>46</v>
      </c>
      <c r="F616" t="s">
        <v>24</v>
      </c>
      <c r="G616" t="s">
        <v>57</v>
      </c>
      <c r="H616">
        <v>7</v>
      </c>
      <c r="I616">
        <v>1400</v>
      </c>
      <c r="J616">
        <v>0.15</v>
      </c>
      <c r="K616" t="s">
        <v>33</v>
      </c>
      <c r="L616" t="s">
        <v>26</v>
      </c>
      <c r="M616" t="s">
        <v>331</v>
      </c>
      <c r="N616">
        <f>SalesTable[[#This Row],[الكمية]]*SalesTable[[#This Row],[سعر الوحدة]]</f>
        <v>9800</v>
      </c>
      <c r="O616">
        <f>SalesTable[[#This Row],[الكمية]]*SalesTable[[#This Row],[سعر الوحدة]]*(1-SalesTable[[#This Row],[الخصم]])</f>
        <v>8330</v>
      </c>
    </row>
    <row r="617" spans="1:15" x14ac:dyDescent="0.3">
      <c r="A617">
        <v>10616</v>
      </c>
      <c r="B617" t="s">
        <v>28</v>
      </c>
      <c r="C617" s="3">
        <v>46162</v>
      </c>
      <c r="D617" t="s">
        <v>68</v>
      </c>
      <c r="E617" t="s">
        <v>46</v>
      </c>
      <c r="F617" t="s">
        <v>87</v>
      </c>
      <c r="G617" t="s">
        <v>103</v>
      </c>
      <c r="H617">
        <v>6</v>
      </c>
      <c r="I617">
        <v>1400</v>
      </c>
      <c r="J617">
        <v>0.15</v>
      </c>
      <c r="K617" t="s">
        <v>33</v>
      </c>
      <c r="L617" t="s">
        <v>19</v>
      </c>
      <c r="M617" t="s">
        <v>233</v>
      </c>
      <c r="N617">
        <f>SalesTable[[#This Row],[الكمية]]*SalesTable[[#This Row],[سعر الوحدة]]</f>
        <v>8400</v>
      </c>
      <c r="O617">
        <f>SalesTable[[#This Row],[الكمية]]*SalesTable[[#This Row],[سعر الوحدة]]*(1-SalesTable[[#This Row],[الخصم]])</f>
        <v>7140</v>
      </c>
    </row>
    <row r="618" spans="1:15" x14ac:dyDescent="0.3">
      <c r="A618">
        <v>10617</v>
      </c>
      <c r="B618" t="s">
        <v>13</v>
      </c>
      <c r="C618" s="3">
        <v>46291</v>
      </c>
      <c r="D618" t="s">
        <v>90</v>
      </c>
      <c r="E618" t="s">
        <v>91</v>
      </c>
      <c r="F618" t="s">
        <v>31</v>
      </c>
      <c r="G618" t="s">
        <v>32</v>
      </c>
      <c r="H618">
        <v>8</v>
      </c>
      <c r="I618">
        <v>6500</v>
      </c>
      <c r="J618">
        <v>0.05</v>
      </c>
      <c r="K618" t="s">
        <v>38</v>
      </c>
      <c r="L618" t="s">
        <v>26</v>
      </c>
      <c r="M618" t="s">
        <v>108</v>
      </c>
      <c r="N618">
        <f>SalesTable[[#This Row],[الكمية]]*SalesTable[[#This Row],[سعر الوحدة]]</f>
        <v>52000</v>
      </c>
      <c r="O618">
        <f>SalesTable[[#This Row],[الكمية]]*SalesTable[[#This Row],[سعر الوحدة]]*(1-SalesTable[[#This Row],[الخصم]])</f>
        <v>49400</v>
      </c>
    </row>
    <row r="619" spans="1:15" x14ac:dyDescent="0.3">
      <c r="A619">
        <v>10618</v>
      </c>
      <c r="B619" t="s">
        <v>21</v>
      </c>
      <c r="C619" s="3">
        <v>46035</v>
      </c>
      <c r="D619" t="s">
        <v>70</v>
      </c>
      <c r="E619" t="s">
        <v>46</v>
      </c>
      <c r="F619" t="s">
        <v>24</v>
      </c>
      <c r="G619" t="s">
        <v>73</v>
      </c>
      <c r="H619">
        <v>2</v>
      </c>
      <c r="I619">
        <v>1800</v>
      </c>
      <c r="J619">
        <v>7.0000000000000007E-2</v>
      </c>
      <c r="K619" t="s">
        <v>33</v>
      </c>
      <c r="L619" t="s">
        <v>26</v>
      </c>
      <c r="M619" t="s">
        <v>333</v>
      </c>
      <c r="N619">
        <f>SalesTable[[#This Row],[الكمية]]*SalesTable[[#This Row],[سعر الوحدة]]</f>
        <v>3600</v>
      </c>
      <c r="O619">
        <f>SalesTable[[#This Row],[الكمية]]*SalesTable[[#This Row],[سعر الوحدة]]*(1-SalesTable[[#This Row],[الخصم]])</f>
        <v>3348</v>
      </c>
    </row>
    <row r="620" spans="1:15" x14ac:dyDescent="0.3">
      <c r="A620">
        <v>10619</v>
      </c>
      <c r="B620" t="s">
        <v>67</v>
      </c>
      <c r="C620" s="3">
        <v>46096</v>
      </c>
      <c r="D620" t="s">
        <v>70</v>
      </c>
      <c r="E620" t="s">
        <v>46</v>
      </c>
      <c r="F620" t="s">
        <v>59</v>
      </c>
      <c r="G620" t="s">
        <v>75</v>
      </c>
      <c r="H620">
        <v>9</v>
      </c>
      <c r="I620">
        <v>1800</v>
      </c>
      <c r="J620">
        <v>0.05</v>
      </c>
      <c r="K620" t="s">
        <v>18</v>
      </c>
      <c r="L620" t="s">
        <v>26</v>
      </c>
      <c r="M620" t="s">
        <v>351</v>
      </c>
      <c r="N620">
        <f>SalesTable[[#This Row],[الكمية]]*SalesTable[[#This Row],[سعر الوحدة]]</f>
        <v>16200</v>
      </c>
      <c r="O620">
        <f>SalesTable[[#This Row],[الكمية]]*SalesTable[[#This Row],[سعر الوحدة]]*(1-SalesTable[[#This Row],[الخصم]])</f>
        <v>15390</v>
      </c>
    </row>
    <row r="621" spans="1:15" x14ac:dyDescent="0.3">
      <c r="A621">
        <v>10620</v>
      </c>
      <c r="B621" t="s">
        <v>21</v>
      </c>
      <c r="C621" s="3">
        <v>46082</v>
      </c>
      <c r="D621" t="s">
        <v>81</v>
      </c>
      <c r="E621" t="s">
        <v>41</v>
      </c>
      <c r="F621" t="s">
        <v>24</v>
      </c>
      <c r="G621" t="s">
        <v>42</v>
      </c>
      <c r="H621">
        <v>7</v>
      </c>
      <c r="I621">
        <v>2200</v>
      </c>
      <c r="J621">
        <v>0.15</v>
      </c>
      <c r="K621" t="s">
        <v>18</v>
      </c>
      <c r="L621" t="s">
        <v>34</v>
      </c>
      <c r="M621" t="s">
        <v>119</v>
      </c>
      <c r="N621">
        <f>SalesTable[[#This Row],[الكمية]]*SalesTable[[#This Row],[سعر الوحدة]]</f>
        <v>15400</v>
      </c>
      <c r="O621">
        <f>SalesTable[[#This Row],[الكمية]]*SalesTable[[#This Row],[سعر الوحدة]]*(1-SalesTable[[#This Row],[الخصم]])</f>
        <v>13090</v>
      </c>
    </row>
    <row r="622" spans="1:15" x14ac:dyDescent="0.3">
      <c r="A622">
        <v>10621</v>
      </c>
      <c r="B622" t="s">
        <v>44</v>
      </c>
      <c r="C622" s="3">
        <v>46289</v>
      </c>
      <c r="D622" t="s">
        <v>14</v>
      </c>
      <c r="E622" t="s">
        <v>15</v>
      </c>
      <c r="F622" t="s">
        <v>16</v>
      </c>
      <c r="G622" t="s">
        <v>79</v>
      </c>
      <c r="H622">
        <v>8</v>
      </c>
      <c r="I622">
        <v>650</v>
      </c>
      <c r="J622">
        <v>0</v>
      </c>
      <c r="K622" t="s">
        <v>38</v>
      </c>
      <c r="L622" t="s">
        <v>19</v>
      </c>
      <c r="M622" t="s">
        <v>43</v>
      </c>
      <c r="N622">
        <f>SalesTable[[#This Row],[الكمية]]*SalesTable[[#This Row],[سعر الوحدة]]</f>
        <v>5200</v>
      </c>
      <c r="O622">
        <f>SalesTable[[#This Row],[الكمية]]*SalesTable[[#This Row],[سعر الوحدة]]*(1-SalesTable[[#This Row],[الخصم]])</f>
        <v>5200</v>
      </c>
    </row>
    <row r="623" spans="1:15" x14ac:dyDescent="0.3">
      <c r="A623">
        <v>10622</v>
      </c>
      <c r="B623" t="s">
        <v>13</v>
      </c>
      <c r="C623" s="3">
        <v>46121</v>
      </c>
      <c r="D623" t="s">
        <v>40</v>
      </c>
      <c r="E623" t="s">
        <v>41</v>
      </c>
      <c r="F623" t="s">
        <v>87</v>
      </c>
      <c r="G623" t="s">
        <v>103</v>
      </c>
      <c r="H623">
        <v>4</v>
      </c>
      <c r="I623">
        <v>150</v>
      </c>
      <c r="J623">
        <v>0.05</v>
      </c>
      <c r="K623" t="s">
        <v>38</v>
      </c>
      <c r="L623" t="s">
        <v>34</v>
      </c>
      <c r="M623" t="s">
        <v>199</v>
      </c>
      <c r="N623">
        <f>SalesTable[[#This Row],[الكمية]]*SalesTable[[#This Row],[سعر الوحدة]]</f>
        <v>600</v>
      </c>
      <c r="O623">
        <f>SalesTable[[#This Row],[الكمية]]*SalesTable[[#This Row],[سعر الوحدة]]*(1-SalesTable[[#This Row],[الخصم]])</f>
        <v>570</v>
      </c>
    </row>
    <row r="624" spans="1:15" x14ac:dyDescent="0.3">
      <c r="A624">
        <v>10623</v>
      </c>
      <c r="B624" t="s">
        <v>112</v>
      </c>
      <c r="C624" s="3">
        <v>46103</v>
      </c>
      <c r="D624" t="s">
        <v>70</v>
      </c>
      <c r="E624" t="s">
        <v>46</v>
      </c>
      <c r="F624" t="s">
        <v>59</v>
      </c>
      <c r="G624" t="s">
        <v>75</v>
      </c>
      <c r="H624">
        <v>2</v>
      </c>
      <c r="I624">
        <v>1800</v>
      </c>
      <c r="J624">
        <v>0.05</v>
      </c>
      <c r="K624" t="s">
        <v>38</v>
      </c>
      <c r="L624" t="s">
        <v>19</v>
      </c>
      <c r="M624" t="s">
        <v>241</v>
      </c>
      <c r="N624">
        <f>SalesTable[[#This Row],[الكمية]]*SalesTable[[#This Row],[سعر الوحدة]]</f>
        <v>3600</v>
      </c>
      <c r="O624">
        <f>SalesTable[[#This Row],[الكمية]]*SalesTable[[#This Row],[سعر الوحدة]]*(1-SalesTable[[#This Row],[الخصم]])</f>
        <v>3420</v>
      </c>
    </row>
    <row r="625" spans="1:15" x14ac:dyDescent="0.3">
      <c r="A625">
        <v>10624</v>
      </c>
      <c r="B625" t="s">
        <v>21</v>
      </c>
      <c r="C625" s="3">
        <v>46186</v>
      </c>
      <c r="D625" t="s">
        <v>95</v>
      </c>
      <c r="E625" t="s">
        <v>15</v>
      </c>
      <c r="F625" t="s">
        <v>16</v>
      </c>
      <c r="G625" t="s">
        <v>96</v>
      </c>
      <c r="H625">
        <v>9</v>
      </c>
      <c r="I625">
        <v>5200</v>
      </c>
      <c r="J625">
        <v>0.05</v>
      </c>
      <c r="K625" t="s">
        <v>38</v>
      </c>
      <c r="L625" t="s">
        <v>26</v>
      </c>
      <c r="M625" t="s">
        <v>212</v>
      </c>
      <c r="N625">
        <f>SalesTable[[#This Row],[الكمية]]*SalesTable[[#This Row],[سعر الوحدة]]</f>
        <v>46800</v>
      </c>
      <c r="O625">
        <f>SalesTable[[#This Row],[الكمية]]*SalesTable[[#This Row],[سعر الوحدة]]*(1-SalesTable[[#This Row],[الخصم]])</f>
        <v>44460</v>
      </c>
    </row>
    <row r="626" spans="1:15" x14ac:dyDescent="0.3">
      <c r="A626">
        <v>10625</v>
      </c>
      <c r="B626" t="s">
        <v>94</v>
      </c>
      <c r="C626" s="3">
        <v>46196</v>
      </c>
      <c r="D626" t="s">
        <v>95</v>
      </c>
      <c r="E626" t="s">
        <v>15</v>
      </c>
      <c r="F626" t="s">
        <v>31</v>
      </c>
      <c r="G626" t="s">
        <v>54</v>
      </c>
      <c r="H626">
        <v>2</v>
      </c>
      <c r="I626">
        <v>5200</v>
      </c>
      <c r="J626">
        <v>0.05</v>
      </c>
      <c r="K626" t="s">
        <v>33</v>
      </c>
      <c r="L626" t="s">
        <v>19</v>
      </c>
      <c r="M626" t="s">
        <v>314</v>
      </c>
      <c r="N626">
        <f>SalesTable[[#This Row],[الكمية]]*SalesTable[[#This Row],[سعر الوحدة]]</f>
        <v>10400</v>
      </c>
      <c r="O626">
        <f>SalesTable[[#This Row],[الكمية]]*SalesTable[[#This Row],[سعر الوحدة]]*(1-SalesTable[[#This Row],[الخصم]])</f>
        <v>9880</v>
      </c>
    </row>
    <row r="627" spans="1:15" x14ac:dyDescent="0.3">
      <c r="A627">
        <v>10626</v>
      </c>
      <c r="B627" t="s">
        <v>36</v>
      </c>
      <c r="C627" s="3">
        <v>46050</v>
      </c>
      <c r="D627" t="s">
        <v>22</v>
      </c>
      <c r="E627" t="s">
        <v>23</v>
      </c>
      <c r="F627" t="s">
        <v>59</v>
      </c>
      <c r="G627" t="s">
        <v>75</v>
      </c>
      <c r="H627">
        <v>1</v>
      </c>
      <c r="I627">
        <v>25000</v>
      </c>
      <c r="J627">
        <v>0</v>
      </c>
      <c r="K627" t="s">
        <v>18</v>
      </c>
      <c r="L627" t="s">
        <v>47</v>
      </c>
      <c r="M627" t="s">
        <v>277</v>
      </c>
      <c r="N627">
        <f>SalesTable[[#This Row],[الكمية]]*SalesTable[[#This Row],[سعر الوحدة]]</f>
        <v>25000</v>
      </c>
      <c r="O627">
        <f>SalesTable[[#This Row],[الكمية]]*SalesTable[[#This Row],[سعر الوحدة]]*(1-SalesTable[[#This Row],[الخصم]])</f>
        <v>25000</v>
      </c>
    </row>
    <row r="628" spans="1:15" x14ac:dyDescent="0.3">
      <c r="A628">
        <v>10627</v>
      </c>
      <c r="B628" t="s">
        <v>67</v>
      </c>
      <c r="C628" s="3">
        <v>46124</v>
      </c>
      <c r="D628" t="s">
        <v>37</v>
      </c>
      <c r="E628" t="s">
        <v>23</v>
      </c>
      <c r="F628" t="s">
        <v>59</v>
      </c>
      <c r="G628" t="s">
        <v>75</v>
      </c>
      <c r="H628">
        <v>6</v>
      </c>
      <c r="I628">
        <v>32000</v>
      </c>
      <c r="J628">
        <v>0.05</v>
      </c>
      <c r="K628" t="s">
        <v>18</v>
      </c>
      <c r="L628" t="s">
        <v>47</v>
      </c>
      <c r="M628" t="s">
        <v>348</v>
      </c>
      <c r="N628">
        <f>SalesTable[[#This Row],[الكمية]]*SalesTable[[#This Row],[سعر الوحدة]]</f>
        <v>192000</v>
      </c>
      <c r="O628">
        <f>SalesTable[[#This Row],[الكمية]]*SalesTable[[#This Row],[سعر الوحدة]]*(1-SalesTable[[#This Row],[الخصم]])</f>
        <v>182400</v>
      </c>
    </row>
    <row r="629" spans="1:15" x14ac:dyDescent="0.3">
      <c r="A629">
        <v>10628</v>
      </c>
      <c r="B629" t="s">
        <v>52</v>
      </c>
      <c r="C629" s="3">
        <v>46373</v>
      </c>
      <c r="D629" t="s">
        <v>37</v>
      </c>
      <c r="E629" t="s">
        <v>23</v>
      </c>
      <c r="F629" t="s">
        <v>16</v>
      </c>
      <c r="G629" t="s">
        <v>189</v>
      </c>
      <c r="H629">
        <v>2</v>
      </c>
      <c r="I629">
        <v>32000</v>
      </c>
      <c r="J629">
        <v>7.0000000000000007E-2</v>
      </c>
      <c r="K629" t="s">
        <v>33</v>
      </c>
      <c r="L629" t="s">
        <v>47</v>
      </c>
      <c r="M629" t="s">
        <v>255</v>
      </c>
      <c r="N629">
        <f>SalesTable[[#This Row],[الكمية]]*SalesTable[[#This Row],[سعر الوحدة]]</f>
        <v>64000</v>
      </c>
      <c r="O629">
        <f>SalesTable[[#This Row],[الكمية]]*SalesTable[[#This Row],[سعر الوحدة]]*(1-SalesTable[[#This Row],[الخصم]])</f>
        <v>59519.999999999993</v>
      </c>
    </row>
    <row r="630" spans="1:15" x14ac:dyDescent="0.3">
      <c r="A630">
        <v>10629</v>
      </c>
      <c r="B630" t="s">
        <v>112</v>
      </c>
      <c r="C630" s="3">
        <v>46381</v>
      </c>
      <c r="D630" t="s">
        <v>45</v>
      </c>
      <c r="E630" t="s">
        <v>46</v>
      </c>
      <c r="F630" t="s">
        <v>64</v>
      </c>
      <c r="G630" t="s">
        <v>107</v>
      </c>
      <c r="H630">
        <v>6</v>
      </c>
      <c r="I630">
        <v>1200</v>
      </c>
      <c r="J630">
        <v>7.0000000000000007E-2</v>
      </c>
      <c r="K630" t="s">
        <v>38</v>
      </c>
      <c r="L630" t="s">
        <v>34</v>
      </c>
      <c r="M630" t="s">
        <v>146</v>
      </c>
      <c r="N630">
        <f>SalesTable[[#This Row],[الكمية]]*SalesTable[[#This Row],[سعر الوحدة]]</f>
        <v>7200</v>
      </c>
      <c r="O630">
        <f>SalesTable[[#This Row],[الكمية]]*SalesTable[[#This Row],[سعر الوحدة]]*(1-SalesTable[[#This Row],[الخصم]])</f>
        <v>6696</v>
      </c>
    </row>
    <row r="631" spans="1:15" x14ac:dyDescent="0.3">
      <c r="A631">
        <v>10630</v>
      </c>
      <c r="B631" t="s">
        <v>67</v>
      </c>
      <c r="C631" s="3">
        <v>46268</v>
      </c>
      <c r="D631" t="s">
        <v>48</v>
      </c>
      <c r="E631" t="s">
        <v>30</v>
      </c>
      <c r="F631" t="s">
        <v>24</v>
      </c>
      <c r="G631" t="s">
        <v>25</v>
      </c>
      <c r="H631">
        <v>8</v>
      </c>
      <c r="I631">
        <v>9000</v>
      </c>
      <c r="J631">
        <v>0</v>
      </c>
      <c r="K631" t="s">
        <v>33</v>
      </c>
      <c r="L631" t="s">
        <v>26</v>
      </c>
      <c r="M631" t="s">
        <v>209</v>
      </c>
      <c r="N631">
        <f>SalesTable[[#This Row],[الكمية]]*SalesTable[[#This Row],[سعر الوحدة]]</f>
        <v>72000</v>
      </c>
      <c r="O631">
        <f>SalesTable[[#This Row],[الكمية]]*SalesTable[[#This Row],[سعر الوحدة]]*(1-SalesTable[[#This Row],[الخصم]])</f>
        <v>72000</v>
      </c>
    </row>
    <row r="632" spans="1:15" x14ac:dyDescent="0.3">
      <c r="A632">
        <v>10631</v>
      </c>
      <c r="B632" t="s">
        <v>21</v>
      </c>
      <c r="C632" s="3">
        <v>46075</v>
      </c>
      <c r="D632" t="s">
        <v>40</v>
      </c>
      <c r="E632" t="s">
        <v>41</v>
      </c>
      <c r="F632" t="s">
        <v>49</v>
      </c>
      <c r="G632" t="s">
        <v>122</v>
      </c>
      <c r="H632">
        <v>10</v>
      </c>
      <c r="I632">
        <v>150</v>
      </c>
      <c r="J632">
        <v>0.03</v>
      </c>
      <c r="K632" t="s">
        <v>33</v>
      </c>
      <c r="L632" t="s">
        <v>19</v>
      </c>
      <c r="M632" t="s">
        <v>342</v>
      </c>
      <c r="N632">
        <f>SalesTable[[#This Row],[الكمية]]*SalesTable[[#This Row],[سعر الوحدة]]</f>
        <v>1500</v>
      </c>
      <c r="O632">
        <f>SalesTable[[#This Row],[الكمية]]*SalesTable[[#This Row],[سعر الوحدة]]*(1-SalesTable[[#This Row],[الخصم]])</f>
        <v>1455</v>
      </c>
    </row>
    <row r="633" spans="1:15" x14ac:dyDescent="0.3">
      <c r="A633">
        <v>10632</v>
      </c>
      <c r="B633" t="s">
        <v>36</v>
      </c>
      <c r="C633" s="3">
        <v>46325</v>
      </c>
      <c r="D633" t="s">
        <v>53</v>
      </c>
      <c r="E633" t="s">
        <v>15</v>
      </c>
      <c r="F633" t="s">
        <v>16</v>
      </c>
      <c r="G633" t="s">
        <v>79</v>
      </c>
      <c r="H633">
        <v>9</v>
      </c>
      <c r="I633">
        <v>3200</v>
      </c>
      <c r="J633">
        <v>7.0000000000000007E-2</v>
      </c>
      <c r="K633" t="s">
        <v>33</v>
      </c>
      <c r="L633" t="s">
        <v>26</v>
      </c>
      <c r="M633" t="s">
        <v>139</v>
      </c>
      <c r="N633">
        <f>SalesTable[[#This Row],[الكمية]]*SalesTable[[#This Row],[سعر الوحدة]]</f>
        <v>28800</v>
      </c>
      <c r="O633">
        <f>SalesTable[[#This Row],[الكمية]]*SalesTable[[#This Row],[سعر الوحدة]]*(1-SalesTable[[#This Row],[الخصم]])</f>
        <v>26784</v>
      </c>
    </row>
    <row r="634" spans="1:15" x14ac:dyDescent="0.3">
      <c r="A634">
        <v>10633</v>
      </c>
      <c r="B634" t="s">
        <v>67</v>
      </c>
      <c r="C634" s="3">
        <v>46129</v>
      </c>
      <c r="D634" t="s">
        <v>53</v>
      </c>
      <c r="E634" t="s">
        <v>15</v>
      </c>
      <c r="F634" t="s">
        <v>64</v>
      </c>
      <c r="G634" t="s">
        <v>65</v>
      </c>
      <c r="H634">
        <v>7</v>
      </c>
      <c r="I634">
        <v>3200</v>
      </c>
      <c r="J634">
        <v>0</v>
      </c>
      <c r="K634" t="s">
        <v>33</v>
      </c>
      <c r="L634" t="s">
        <v>47</v>
      </c>
      <c r="M634" t="s">
        <v>348</v>
      </c>
      <c r="N634">
        <f>SalesTable[[#This Row],[الكمية]]*SalesTable[[#This Row],[سعر الوحدة]]</f>
        <v>22400</v>
      </c>
      <c r="O634">
        <f>SalesTable[[#This Row],[الكمية]]*SalesTable[[#This Row],[سعر الوحدة]]*(1-SalesTable[[#This Row],[الخصم]])</f>
        <v>22400</v>
      </c>
    </row>
    <row r="635" spans="1:15" x14ac:dyDescent="0.3">
      <c r="A635">
        <v>10634</v>
      </c>
      <c r="B635" t="s">
        <v>44</v>
      </c>
      <c r="C635" s="3">
        <v>46387</v>
      </c>
      <c r="D635" t="s">
        <v>40</v>
      </c>
      <c r="E635" t="s">
        <v>41</v>
      </c>
      <c r="F635" t="s">
        <v>49</v>
      </c>
      <c r="G635" t="s">
        <v>122</v>
      </c>
      <c r="H635">
        <v>4</v>
      </c>
      <c r="I635">
        <v>150</v>
      </c>
      <c r="J635">
        <v>0.03</v>
      </c>
      <c r="K635" t="s">
        <v>33</v>
      </c>
      <c r="L635" t="s">
        <v>19</v>
      </c>
      <c r="M635" t="s">
        <v>338</v>
      </c>
      <c r="N635">
        <f>SalesTable[[#This Row],[الكمية]]*SalesTable[[#This Row],[سعر الوحدة]]</f>
        <v>600</v>
      </c>
      <c r="O635">
        <f>SalesTable[[#This Row],[الكمية]]*SalesTable[[#This Row],[سعر الوحدة]]*(1-SalesTable[[#This Row],[الخصم]])</f>
        <v>582</v>
      </c>
    </row>
    <row r="636" spans="1:15" x14ac:dyDescent="0.3">
      <c r="A636">
        <v>10635</v>
      </c>
      <c r="B636" t="s">
        <v>36</v>
      </c>
      <c r="C636" s="3">
        <v>46058</v>
      </c>
      <c r="D636" t="s">
        <v>70</v>
      </c>
      <c r="E636" t="s">
        <v>46</v>
      </c>
      <c r="F636" t="s">
        <v>16</v>
      </c>
      <c r="G636" t="s">
        <v>189</v>
      </c>
      <c r="H636">
        <v>3</v>
      </c>
      <c r="I636">
        <v>1800</v>
      </c>
      <c r="J636">
        <v>0.05</v>
      </c>
      <c r="K636" t="s">
        <v>18</v>
      </c>
      <c r="L636" t="s">
        <v>47</v>
      </c>
      <c r="M636" t="s">
        <v>123</v>
      </c>
      <c r="N636">
        <f>SalesTable[[#This Row],[الكمية]]*SalesTable[[#This Row],[سعر الوحدة]]</f>
        <v>5400</v>
      </c>
      <c r="O636">
        <f>SalesTable[[#This Row],[الكمية]]*SalesTable[[#This Row],[سعر الوحدة]]*(1-SalesTable[[#This Row],[الخصم]])</f>
        <v>5130</v>
      </c>
    </row>
    <row r="637" spans="1:15" x14ac:dyDescent="0.3">
      <c r="A637">
        <v>10636</v>
      </c>
      <c r="B637" t="s">
        <v>94</v>
      </c>
      <c r="C637" s="3">
        <v>46348</v>
      </c>
      <c r="D637" t="s">
        <v>48</v>
      </c>
      <c r="E637" t="s">
        <v>30</v>
      </c>
      <c r="F637" t="s">
        <v>24</v>
      </c>
      <c r="G637" t="s">
        <v>25</v>
      </c>
      <c r="H637">
        <v>4</v>
      </c>
      <c r="I637">
        <v>9000</v>
      </c>
      <c r="J637">
        <v>0.03</v>
      </c>
      <c r="K637" t="s">
        <v>18</v>
      </c>
      <c r="L637" t="s">
        <v>26</v>
      </c>
      <c r="M637" t="s">
        <v>155</v>
      </c>
      <c r="N637">
        <f>SalesTable[[#This Row],[الكمية]]*SalesTable[[#This Row],[سعر الوحدة]]</f>
        <v>36000</v>
      </c>
      <c r="O637">
        <f>SalesTable[[#This Row],[الكمية]]*SalesTable[[#This Row],[سعر الوحدة]]*(1-SalesTable[[#This Row],[الخصم]])</f>
        <v>34920</v>
      </c>
    </row>
    <row r="638" spans="1:15" x14ac:dyDescent="0.3">
      <c r="A638">
        <v>10637</v>
      </c>
      <c r="B638" t="s">
        <v>62</v>
      </c>
      <c r="C638" s="3">
        <v>46123</v>
      </c>
      <c r="D638" t="s">
        <v>48</v>
      </c>
      <c r="E638" t="s">
        <v>30</v>
      </c>
      <c r="F638" t="s">
        <v>87</v>
      </c>
      <c r="G638" t="s">
        <v>88</v>
      </c>
      <c r="H638">
        <v>10</v>
      </c>
      <c r="I638">
        <v>9000</v>
      </c>
      <c r="J638">
        <v>0.1</v>
      </c>
      <c r="K638" t="s">
        <v>55</v>
      </c>
      <c r="L638" t="s">
        <v>34</v>
      </c>
      <c r="M638" t="s">
        <v>249</v>
      </c>
      <c r="N638">
        <f>SalesTable[[#This Row],[الكمية]]*SalesTable[[#This Row],[سعر الوحدة]]</f>
        <v>90000</v>
      </c>
      <c r="O638">
        <f>SalesTable[[#This Row],[الكمية]]*SalesTable[[#This Row],[سعر الوحدة]]*(1-SalesTable[[#This Row],[الخصم]])</f>
        <v>81000</v>
      </c>
    </row>
    <row r="639" spans="1:15" x14ac:dyDescent="0.3">
      <c r="A639">
        <v>10638</v>
      </c>
      <c r="B639" t="s">
        <v>94</v>
      </c>
      <c r="C639" s="3">
        <v>46027</v>
      </c>
      <c r="D639" t="s">
        <v>95</v>
      </c>
      <c r="E639" t="s">
        <v>15</v>
      </c>
      <c r="F639" t="s">
        <v>87</v>
      </c>
      <c r="G639" t="s">
        <v>88</v>
      </c>
      <c r="H639">
        <v>6</v>
      </c>
      <c r="I639">
        <v>5200</v>
      </c>
      <c r="J639">
        <v>0</v>
      </c>
      <c r="K639" t="s">
        <v>33</v>
      </c>
      <c r="L639" t="s">
        <v>26</v>
      </c>
      <c r="M639" t="s">
        <v>352</v>
      </c>
      <c r="N639">
        <f>SalesTable[[#This Row],[الكمية]]*SalesTable[[#This Row],[سعر الوحدة]]</f>
        <v>31200</v>
      </c>
      <c r="O639">
        <f>SalesTable[[#This Row],[الكمية]]*SalesTable[[#This Row],[سعر الوحدة]]*(1-SalesTable[[#This Row],[الخصم]])</f>
        <v>31200</v>
      </c>
    </row>
    <row r="640" spans="1:15" x14ac:dyDescent="0.3">
      <c r="A640">
        <v>10639</v>
      </c>
      <c r="B640" t="s">
        <v>21</v>
      </c>
      <c r="C640" s="3">
        <v>46206</v>
      </c>
      <c r="D640" t="s">
        <v>22</v>
      </c>
      <c r="E640" t="s">
        <v>23</v>
      </c>
      <c r="F640" t="s">
        <v>49</v>
      </c>
      <c r="G640" t="s">
        <v>122</v>
      </c>
      <c r="H640">
        <v>1</v>
      </c>
      <c r="I640">
        <v>25000</v>
      </c>
      <c r="J640">
        <v>0</v>
      </c>
      <c r="K640" t="s">
        <v>18</v>
      </c>
      <c r="L640" t="s">
        <v>34</v>
      </c>
      <c r="M640" t="s">
        <v>190</v>
      </c>
      <c r="N640">
        <f>SalesTable[[#This Row],[الكمية]]*SalesTable[[#This Row],[سعر الوحدة]]</f>
        <v>25000</v>
      </c>
      <c r="O640">
        <f>SalesTable[[#This Row],[الكمية]]*SalesTable[[#This Row],[سعر الوحدة]]*(1-SalesTable[[#This Row],[الخصم]])</f>
        <v>25000</v>
      </c>
    </row>
    <row r="641" spans="1:15" x14ac:dyDescent="0.3">
      <c r="A641">
        <v>10640</v>
      </c>
      <c r="B641" t="s">
        <v>67</v>
      </c>
      <c r="C641" s="3">
        <v>46387</v>
      </c>
      <c r="D641" t="s">
        <v>45</v>
      </c>
      <c r="E641" t="s">
        <v>46</v>
      </c>
      <c r="F641" t="s">
        <v>84</v>
      </c>
      <c r="G641" t="s">
        <v>113</v>
      </c>
      <c r="H641">
        <v>10</v>
      </c>
      <c r="I641">
        <v>1200</v>
      </c>
      <c r="J641">
        <v>7.0000000000000007E-2</v>
      </c>
      <c r="K641" t="s">
        <v>33</v>
      </c>
      <c r="L641" t="s">
        <v>47</v>
      </c>
      <c r="M641" t="s">
        <v>168</v>
      </c>
      <c r="N641">
        <f>SalesTable[[#This Row],[الكمية]]*SalesTable[[#This Row],[سعر الوحدة]]</f>
        <v>12000</v>
      </c>
      <c r="O641">
        <f>SalesTable[[#This Row],[الكمية]]*SalesTable[[#This Row],[سعر الوحدة]]*(1-SalesTable[[#This Row],[الخصم]])</f>
        <v>11160</v>
      </c>
    </row>
    <row r="642" spans="1:15" x14ac:dyDescent="0.3">
      <c r="A642">
        <v>10641</v>
      </c>
      <c r="B642" t="s">
        <v>112</v>
      </c>
      <c r="C642" s="3">
        <v>46119</v>
      </c>
      <c r="D642" t="s">
        <v>29</v>
      </c>
      <c r="E642" t="s">
        <v>30</v>
      </c>
      <c r="F642" t="s">
        <v>31</v>
      </c>
      <c r="G642" t="s">
        <v>77</v>
      </c>
      <c r="H642">
        <v>3</v>
      </c>
      <c r="I642">
        <v>7500</v>
      </c>
      <c r="J642">
        <v>7.0000000000000007E-2</v>
      </c>
      <c r="K642" t="s">
        <v>33</v>
      </c>
      <c r="L642" t="s">
        <v>34</v>
      </c>
      <c r="M642" t="s">
        <v>248</v>
      </c>
      <c r="N642">
        <f>SalesTable[[#This Row],[الكمية]]*SalesTable[[#This Row],[سعر الوحدة]]</f>
        <v>22500</v>
      </c>
      <c r="O642">
        <f>SalesTable[[#This Row],[الكمية]]*SalesTable[[#This Row],[سعر الوحدة]]*(1-SalesTable[[#This Row],[الخصم]])</f>
        <v>20925</v>
      </c>
    </row>
    <row r="643" spans="1:15" x14ac:dyDescent="0.3">
      <c r="A643">
        <v>10642</v>
      </c>
      <c r="B643" t="s">
        <v>28</v>
      </c>
      <c r="C643" s="3">
        <v>46059</v>
      </c>
      <c r="D643" t="s">
        <v>37</v>
      </c>
      <c r="E643" t="s">
        <v>23</v>
      </c>
      <c r="F643" t="s">
        <v>87</v>
      </c>
      <c r="G643" t="s">
        <v>103</v>
      </c>
      <c r="H643">
        <v>3</v>
      </c>
      <c r="I643">
        <v>32000</v>
      </c>
      <c r="J643">
        <v>0.03</v>
      </c>
      <c r="K643" t="s">
        <v>18</v>
      </c>
      <c r="L643" t="s">
        <v>26</v>
      </c>
      <c r="M643" t="s">
        <v>256</v>
      </c>
      <c r="N643">
        <f>SalesTable[[#This Row],[الكمية]]*SalesTable[[#This Row],[سعر الوحدة]]</f>
        <v>96000</v>
      </c>
      <c r="O643">
        <f>SalesTable[[#This Row],[الكمية]]*SalesTable[[#This Row],[سعر الوحدة]]*(1-SalesTable[[#This Row],[الخصم]])</f>
        <v>93120</v>
      </c>
    </row>
    <row r="644" spans="1:15" x14ac:dyDescent="0.3">
      <c r="A644">
        <v>10643</v>
      </c>
      <c r="B644" t="s">
        <v>36</v>
      </c>
      <c r="C644" s="3">
        <v>46256</v>
      </c>
      <c r="D644" t="s">
        <v>14</v>
      </c>
      <c r="E644" t="s">
        <v>15</v>
      </c>
      <c r="F644" t="s">
        <v>84</v>
      </c>
      <c r="G644" t="s">
        <v>120</v>
      </c>
      <c r="H644">
        <v>2</v>
      </c>
      <c r="I644">
        <v>650</v>
      </c>
      <c r="J644">
        <v>0.03</v>
      </c>
      <c r="K644" t="s">
        <v>33</v>
      </c>
      <c r="L644" t="s">
        <v>26</v>
      </c>
      <c r="M644" t="s">
        <v>146</v>
      </c>
      <c r="N644">
        <f>SalesTable[[#This Row],[الكمية]]*SalesTable[[#This Row],[سعر الوحدة]]</f>
        <v>1300</v>
      </c>
      <c r="O644">
        <f>SalesTable[[#This Row],[الكمية]]*SalesTable[[#This Row],[سعر الوحدة]]*(1-SalesTable[[#This Row],[الخصم]])</f>
        <v>1261</v>
      </c>
    </row>
    <row r="645" spans="1:15" x14ac:dyDescent="0.3">
      <c r="A645">
        <v>10644</v>
      </c>
      <c r="B645" t="s">
        <v>67</v>
      </c>
      <c r="C645" s="3">
        <v>46138</v>
      </c>
      <c r="D645" t="s">
        <v>53</v>
      </c>
      <c r="E645" t="s">
        <v>15</v>
      </c>
      <c r="F645" t="s">
        <v>84</v>
      </c>
      <c r="G645" t="s">
        <v>113</v>
      </c>
      <c r="H645">
        <v>8</v>
      </c>
      <c r="I645">
        <v>3200</v>
      </c>
      <c r="J645">
        <v>7.0000000000000007E-2</v>
      </c>
      <c r="K645" t="s">
        <v>55</v>
      </c>
      <c r="L645" t="s">
        <v>47</v>
      </c>
      <c r="M645" t="s">
        <v>242</v>
      </c>
      <c r="N645">
        <f>SalesTable[[#This Row],[الكمية]]*SalesTable[[#This Row],[سعر الوحدة]]</f>
        <v>25600</v>
      </c>
      <c r="O645">
        <f>SalesTable[[#This Row],[الكمية]]*SalesTable[[#This Row],[سعر الوحدة]]*(1-SalesTable[[#This Row],[الخصم]])</f>
        <v>23808</v>
      </c>
    </row>
    <row r="646" spans="1:15" x14ac:dyDescent="0.3">
      <c r="A646">
        <v>10645</v>
      </c>
      <c r="B646" t="s">
        <v>21</v>
      </c>
      <c r="C646" s="3">
        <v>46160</v>
      </c>
      <c r="D646" t="s">
        <v>95</v>
      </c>
      <c r="E646" t="s">
        <v>15</v>
      </c>
      <c r="F646" t="s">
        <v>59</v>
      </c>
      <c r="G646" t="s">
        <v>75</v>
      </c>
      <c r="H646">
        <v>4</v>
      </c>
      <c r="I646">
        <v>5200</v>
      </c>
      <c r="J646">
        <v>0.15</v>
      </c>
      <c r="K646" t="s">
        <v>33</v>
      </c>
      <c r="L646" t="s">
        <v>34</v>
      </c>
      <c r="M646" t="s">
        <v>299</v>
      </c>
      <c r="N646">
        <f>SalesTable[[#This Row],[الكمية]]*SalesTable[[#This Row],[سعر الوحدة]]</f>
        <v>20800</v>
      </c>
      <c r="O646">
        <f>SalesTable[[#This Row],[الكمية]]*SalesTable[[#This Row],[سعر الوحدة]]*(1-SalesTable[[#This Row],[الخصم]])</f>
        <v>17680</v>
      </c>
    </row>
    <row r="647" spans="1:15" x14ac:dyDescent="0.3">
      <c r="A647">
        <v>10646</v>
      </c>
      <c r="B647" t="s">
        <v>94</v>
      </c>
      <c r="C647" s="3">
        <v>46269</v>
      </c>
      <c r="D647" t="s">
        <v>22</v>
      </c>
      <c r="E647" t="s">
        <v>23</v>
      </c>
      <c r="F647" t="s">
        <v>59</v>
      </c>
      <c r="G647" t="s">
        <v>75</v>
      </c>
      <c r="H647">
        <v>6</v>
      </c>
      <c r="I647">
        <v>25000</v>
      </c>
      <c r="J647">
        <v>0</v>
      </c>
      <c r="K647" t="s">
        <v>18</v>
      </c>
      <c r="L647" t="s">
        <v>26</v>
      </c>
      <c r="M647" t="s">
        <v>258</v>
      </c>
      <c r="N647">
        <f>SalesTable[[#This Row],[الكمية]]*SalesTable[[#This Row],[سعر الوحدة]]</f>
        <v>150000</v>
      </c>
      <c r="O647">
        <f>SalesTable[[#This Row],[الكمية]]*SalesTable[[#This Row],[سعر الوحدة]]*(1-SalesTable[[#This Row],[الخصم]])</f>
        <v>150000</v>
      </c>
    </row>
    <row r="648" spans="1:15" x14ac:dyDescent="0.3">
      <c r="A648">
        <v>10647</v>
      </c>
      <c r="B648" t="s">
        <v>21</v>
      </c>
      <c r="C648" s="3">
        <v>46335</v>
      </c>
      <c r="D648" t="s">
        <v>68</v>
      </c>
      <c r="E648" t="s">
        <v>46</v>
      </c>
      <c r="F648" t="s">
        <v>87</v>
      </c>
      <c r="G648" t="s">
        <v>88</v>
      </c>
      <c r="H648">
        <v>9</v>
      </c>
      <c r="I648">
        <v>1400</v>
      </c>
      <c r="J648">
        <v>0</v>
      </c>
      <c r="K648" t="s">
        <v>18</v>
      </c>
      <c r="L648" t="s">
        <v>26</v>
      </c>
      <c r="M648" t="s">
        <v>293</v>
      </c>
      <c r="N648">
        <f>SalesTable[[#This Row],[الكمية]]*SalesTable[[#This Row],[سعر الوحدة]]</f>
        <v>12600</v>
      </c>
      <c r="O648">
        <f>SalesTable[[#This Row],[الكمية]]*SalesTable[[#This Row],[سعر الوحدة]]*(1-SalesTable[[#This Row],[الخصم]])</f>
        <v>12600</v>
      </c>
    </row>
    <row r="649" spans="1:15" x14ac:dyDescent="0.3">
      <c r="A649">
        <v>10648</v>
      </c>
      <c r="B649" t="s">
        <v>67</v>
      </c>
      <c r="C649" s="3">
        <v>46296</v>
      </c>
      <c r="D649" t="s">
        <v>14</v>
      </c>
      <c r="E649" t="s">
        <v>15</v>
      </c>
      <c r="F649" t="s">
        <v>16</v>
      </c>
      <c r="G649" t="s">
        <v>79</v>
      </c>
      <c r="H649">
        <v>10</v>
      </c>
      <c r="I649">
        <v>650</v>
      </c>
      <c r="J649">
        <v>0</v>
      </c>
      <c r="K649" t="s">
        <v>18</v>
      </c>
      <c r="L649" t="s">
        <v>47</v>
      </c>
      <c r="M649" t="s">
        <v>146</v>
      </c>
      <c r="N649">
        <f>SalesTable[[#This Row],[الكمية]]*SalesTable[[#This Row],[سعر الوحدة]]</f>
        <v>6500</v>
      </c>
      <c r="O649">
        <f>SalesTable[[#This Row],[الكمية]]*SalesTable[[#This Row],[سعر الوحدة]]*(1-SalesTable[[#This Row],[الخصم]])</f>
        <v>6500</v>
      </c>
    </row>
    <row r="650" spans="1:15" x14ac:dyDescent="0.3">
      <c r="A650">
        <v>10649</v>
      </c>
      <c r="B650" t="s">
        <v>67</v>
      </c>
      <c r="C650" s="3">
        <v>46173</v>
      </c>
      <c r="D650" t="s">
        <v>53</v>
      </c>
      <c r="E650" t="s">
        <v>15</v>
      </c>
      <c r="F650" t="s">
        <v>59</v>
      </c>
      <c r="G650" t="s">
        <v>75</v>
      </c>
      <c r="H650">
        <v>6</v>
      </c>
      <c r="I650">
        <v>3200</v>
      </c>
      <c r="J650">
        <v>7.0000000000000007E-2</v>
      </c>
      <c r="K650" t="s">
        <v>38</v>
      </c>
      <c r="L650" t="s">
        <v>26</v>
      </c>
      <c r="M650" t="s">
        <v>330</v>
      </c>
      <c r="N650">
        <f>SalesTable[[#This Row],[الكمية]]*SalesTable[[#This Row],[سعر الوحدة]]</f>
        <v>19200</v>
      </c>
      <c r="O650">
        <f>SalesTable[[#This Row],[الكمية]]*SalesTable[[#This Row],[سعر الوحدة]]*(1-SalesTable[[#This Row],[الخصم]])</f>
        <v>17856</v>
      </c>
    </row>
    <row r="651" spans="1:15" x14ac:dyDescent="0.3">
      <c r="A651">
        <v>10650</v>
      </c>
      <c r="B651" t="s">
        <v>28</v>
      </c>
      <c r="C651" s="3">
        <v>46345</v>
      </c>
      <c r="D651" t="s">
        <v>81</v>
      </c>
      <c r="E651" t="s">
        <v>41</v>
      </c>
      <c r="F651" t="s">
        <v>87</v>
      </c>
      <c r="G651" t="s">
        <v>103</v>
      </c>
      <c r="H651">
        <v>10</v>
      </c>
      <c r="I651">
        <v>2200</v>
      </c>
      <c r="J651">
        <v>0.05</v>
      </c>
      <c r="K651" t="s">
        <v>33</v>
      </c>
      <c r="L651" t="s">
        <v>26</v>
      </c>
      <c r="M651" t="s">
        <v>244</v>
      </c>
      <c r="N651">
        <f>SalesTable[[#This Row],[الكمية]]*SalesTable[[#This Row],[سعر الوحدة]]</f>
        <v>22000</v>
      </c>
      <c r="O651">
        <f>SalesTable[[#This Row],[الكمية]]*SalesTable[[#This Row],[سعر الوحدة]]*(1-SalesTable[[#This Row],[الخصم]])</f>
        <v>20900</v>
      </c>
    </row>
    <row r="652" spans="1:15" x14ac:dyDescent="0.3">
      <c r="A652">
        <v>10651</v>
      </c>
      <c r="B652" t="s">
        <v>52</v>
      </c>
      <c r="C652" s="3">
        <v>46271</v>
      </c>
      <c r="D652" t="s">
        <v>22</v>
      </c>
      <c r="E652" t="s">
        <v>23</v>
      </c>
      <c r="F652" t="s">
        <v>87</v>
      </c>
      <c r="G652" t="s">
        <v>103</v>
      </c>
      <c r="H652">
        <v>10</v>
      </c>
      <c r="I652">
        <v>25000</v>
      </c>
      <c r="J652">
        <v>0</v>
      </c>
      <c r="K652" t="s">
        <v>18</v>
      </c>
      <c r="L652" t="s">
        <v>26</v>
      </c>
      <c r="M652" t="s">
        <v>129</v>
      </c>
      <c r="N652">
        <f>SalesTable[[#This Row],[الكمية]]*SalesTable[[#This Row],[سعر الوحدة]]</f>
        <v>250000</v>
      </c>
      <c r="O652">
        <f>SalesTable[[#This Row],[الكمية]]*SalesTable[[#This Row],[سعر الوحدة]]*(1-SalesTable[[#This Row],[الخصم]])</f>
        <v>250000</v>
      </c>
    </row>
    <row r="653" spans="1:15" x14ac:dyDescent="0.3">
      <c r="A653">
        <v>10652</v>
      </c>
      <c r="B653" t="s">
        <v>52</v>
      </c>
      <c r="C653" s="3">
        <v>46163</v>
      </c>
      <c r="D653" t="s">
        <v>104</v>
      </c>
      <c r="E653" t="s">
        <v>23</v>
      </c>
      <c r="F653" t="s">
        <v>87</v>
      </c>
      <c r="G653" t="s">
        <v>88</v>
      </c>
      <c r="H653">
        <v>3</v>
      </c>
      <c r="I653">
        <v>28000</v>
      </c>
      <c r="J653">
        <v>0.1</v>
      </c>
      <c r="K653" t="s">
        <v>38</v>
      </c>
      <c r="L653" t="s">
        <v>19</v>
      </c>
      <c r="M653" t="s">
        <v>108</v>
      </c>
      <c r="N653">
        <f>SalesTable[[#This Row],[الكمية]]*SalesTable[[#This Row],[سعر الوحدة]]</f>
        <v>84000</v>
      </c>
      <c r="O653">
        <f>SalesTable[[#This Row],[الكمية]]*SalesTable[[#This Row],[سعر الوحدة]]*(1-SalesTable[[#This Row],[الخصم]])</f>
        <v>75600</v>
      </c>
    </row>
    <row r="654" spans="1:15" x14ac:dyDescent="0.3">
      <c r="A654">
        <v>10653</v>
      </c>
      <c r="B654" t="s">
        <v>112</v>
      </c>
      <c r="C654" s="3">
        <v>46156</v>
      </c>
      <c r="D654" t="s">
        <v>95</v>
      </c>
      <c r="E654" t="s">
        <v>15</v>
      </c>
      <c r="F654" t="s">
        <v>64</v>
      </c>
      <c r="G654" t="s">
        <v>184</v>
      </c>
      <c r="H654">
        <v>8</v>
      </c>
      <c r="I654">
        <v>5200</v>
      </c>
      <c r="J654">
        <v>0.05</v>
      </c>
      <c r="K654" t="s">
        <v>55</v>
      </c>
      <c r="L654" t="s">
        <v>47</v>
      </c>
      <c r="M654" t="s">
        <v>159</v>
      </c>
      <c r="N654">
        <f>SalesTable[[#This Row],[الكمية]]*SalesTable[[#This Row],[سعر الوحدة]]</f>
        <v>41600</v>
      </c>
      <c r="O654">
        <f>SalesTable[[#This Row],[الكمية]]*SalesTable[[#This Row],[سعر الوحدة]]*(1-SalesTable[[#This Row],[الخصم]])</f>
        <v>39520</v>
      </c>
    </row>
    <row r="655" spans="1:15" x14ac:dyDescent="0.3">
      <c r="A655">
        <v>10654</v>
      </c>
      <c r="B655" t="s">
        <v>94</v>
      </c>
      <c r="C655" s="3">
        <v>46101</v>
      </c>
      <c r="D655" t="s">
        <v>40</v>
      </c>
      <c r="E655" t="s">
        <v>41</v>
      </c>
      <c r="F655" t="s">
        <v>24</v>
      </c>
      <c r="G655" t="s">
        <v>57</v>
      </c>
      <c r="H655">
        <v>2</v>
      </c>
      <c r="I655">
        <v>150</v>
      </c>
      <c r="J655">
        <v>0.03</v>
      </c>
      <c r="K655" t="s">
        <v>33</v>
      </c>
      <c r="L655" t="s">
        <v>47</v>
      </c>
      <c r="M655" t="s">
        <v>175</v>
      </c>
      <c r="N655">
        <f>SalesTable[[#This Row],[الكمية]]*SalesTable[[#This Row],[سعر الوحدة]]</f>
        <v>300</v>
      </c>
      <c r="O655">
        <f>SalesTable[[#This Row],[الكمية]]*SalesTable[[#This Row],[سعر الوحدة]]*(1-SalesTable[[#This Row],[الخصم]])</f>
        <v>291</v>
      </c>
    </row>
    <row r="656" spans="1:15" x14ac:dyDescent="0.3">
      <c r="A656">
        <v>10655</v>
      </c>
      <c r="B656" t="s">
        <v>94</v>
      </c>
      <c r="C656" s="3">
        <v>46199</v>
      </c>
      <c r="D656" t="s">
        <v>45</v>
      </c>
      <c r="E656" t="s">
        <v>46</v>
      </c>
      <c r="F656" t="s">
        <v>59</v>
      </c>
      <c r="G656" t="s">
        <v>75</v>
      </c>
      <c r="H656">
        <v>3</v>
      </c>
      <c r="I656">
        <v>1200</v>
      </c>
      <c r="J656">
        <v>0.03</v>
      </c>
      <c r="K656" t="s">
        <v>18</v>
      </c>
      <c r="L656" t="s">
        <v>34</v>
      </c>
      <c r="M656" t="s">
        <v>331</v>
      </c>
      <c r="N656">
        <f>SalesTable[[#This Row],[الكمية]]*SalesTable[[#This Row],[سعر الوحدة]]</f>
        <v>3600</v>
      </c>
      <c r="O656">
        <f>SalesTable[[#This Row],[الكمية]]*SalesTable[[#This Row],[سعر الوحدة]]*(1-SalesTable[[#This Row],[الخصم]])</f>
        <v>3492</v>
      </c>
    </row>
    <row r="657" spans="1:15" x14ac:dyDescent="0.3">
      <c r="A657">
        <v>10656</v>
      </c>
      <c r="B657" t="s">
        <v>52</v>
      </c>
      <c r="C657" s="3">
        <v>46266</v>
      </c>
      <c r="D657" t="s">
        <v>22</v>
      </c>
      <c r="E657" t="s">
        <v>23</v>
      </c>
      <c r="F657" t="s">
        <v>64</v>
      </c>
      <c r="G657" t="s">
        <v>65</v>
      </c>
      <c r="H657">
        <v>7</v>
      </c>
      <c r="I657">
        <v>25000</v>
      </c>
      <c r="J657">
        <v>7.0000000000000007E-2</v>
      </c>
      <c r="K657" t="s">
        <v>55</v>
      </c>
      <c r="L657" t="s">
        <v>47</v>
      </c>
      <c r="M657" t="s">
        <v>275</v>
      </c>
      <c r="N657">
        <f>SalesTable[[#This Row],[الكمية]]*SalesTable[[#This Row],[سعر الوحدة]]</f>
        <v>175000</v>
      </c>
      <c r="O657">
        <f>SalesTable[[#This Row],[الكمية]]*SalesTable[[#This Row],[سعر الوحدة]]*(1-SalesTable[[#This Row],[الخصم]])</f>
        <v>162750</v>
      </c>
    </row>
    <row r="658" spans="1:15" x14ac:dyDescent="0.3">
      <c r="A658">
        <v>10657</v>
      </c>
      <c r="B658" t="s">
        <v>28</v>
      </c>
      <c r="C658" s="3">
        <v>46170</v>
      </c>
      <c r="D658" t="s">
        <v>48</v>
      </c>
      <c r="E658" t="s">
        <v>30</v>
      </c>
      <c r="F658" t="s">
        <v>87</v>
      </c>
      <c r="G658" t="s">
        <v>101</v>
      </c>
      <c r="H658">
        <v>9</v>
      </c>
      <c r="I658">
        <v>9000</v>
      </c>
      <c r="J658">
        <v>7.0000000000000007E-2</v>
      </c>
      <c r="K658" t="s">
        <v>33</v>
      </c>
      <c r="L658" t="s">
        <v>47</v>
      </c>
      <c r="M658" t="s">
        <v>261</v>
      </c>
      <c r="N658">
        <f>SalesTable[[#This Row],[الكمية]]*SalesTable[[#This Row],[سعر الوحدة]]</f>
        <v>81000</v>
      </c>
      <c r="O658">
        <f>SalesTable[[#This Row],[الكمية]]*SalesTable[[#This Row],[سعر الوحدة]]*(1-SalesTable[[#This Row],[الخصم]])</f>
        <v>75330</v>
      </c>
    </row>
    <row r="659" spans="1:15" x14ac:dyDescent="0.3">
      <c r="A659">
        <v>10658</v>
      </c>
      <c r="B659" t="s">
        <v>67</v>
      </c>
      <c r="C659" s="3">
        <v>46244</v>
      </c>
      <c r="D659" t="s">
        <v>53</v>
      </c>
      <c r="E659" t="s">
        <v>15</v>
      </c>
      <c r="F659" t="s">
        <v>24</v>
      </c>
      <c r="G659" t="s">
        <v>25</v>
      </c>
      <c r="H659">
        <v>9</v>
      </c>
      <c r="I659">
        <v>3200</v>
      </c>
      <c r="J659">
        <v>0.15</v>
      </c>
      <c r="K659" t="s">
        <v>38</v>
      </c>
      <c r="L659" t="s">
        <v>34</v>
      </c>
      <c r="M659" t="s">
        <v>339</v>
      </c>
      <c r="N659">
        <f>SalesTable[[#This Row],[الكمية]]*SalesTable[[#This Row],[سعر الوحدة]]</f>
        <v>28800</v>
      </c>
      <c r="O659">
        <f>SalesTable[[#This Row],[الكمية]]*SalesTable[[#This Row],[سعر الوحدة]]*(1-SalesTable[[#This Row],[الخصم]])</f>
        <v>24480</v>
      </c>
    </row>
    <row r="660" spans="1:15" x14ac:dyDescent="0.3">
      <c r="A660">
        <v>10659</v>
      </c>
      <c r="B660" t="s">
        <v>62</v>
      </c>
      <c r="C660" s="3">
        <v>46368</v>
      </c>
      <c r="D660" t="s">
        <v>110</v>
      </c>
      <c r="E660" t="s">
        <v>46</v>
      </c>
      <c r="F660" t="s">
        <v>16</v>
      </c>
      <c r="G660" t="s">
        <v>79</v>
      </c>
      <c r="H660">
        <v>10</v>
      </c>
      <c r="I660">
        <v>450</v>
      </c>
      <c r="J660">
        <v>7.0000000000000007E-2</v>
      </c>
      <c r="K660" t="s">
        <v>55</v>
      </c>
      <c r="L660" t="s">
        <v>26</v>
      </c>
      <c r="M660" t="s">
        <v>312</v>
      </c>
      <c r="N660">
        <f>SalesTable[[#This Row],[الكمية]]*SalesTable[[#This Row],[سعر الوحدة]]</f>
        <v>4500</v>
      </c>
      <c r="O660">
        <f>SalesTable[[#This Row],[الكمية]]*SalesTable[[#This Row],[سعر الوحدة]]*(1-SalesTable[[#This Row],[الخصم]])</f>
        <v>4185</v>
      </c>
    </row>
    <row r="661" spans="1:15" x14ac:dyDescent="0.3">
      <c r="A661">
        <v>10660</v>
      </c>
      <c r="B661" t="s">
        <v>28</v>
      </c>
      <c r="C661" s="3">
        <v>46057</v>
      </c>
      <c r="D661" t="s">
        <v>70</v>
      </c>
      <c r="E661" t="s">
        <v>46</v>
      </c>
      <c r="F661" t="s">
        <v>64</v>
      </c>
      <c r="G661" t="s">
        <v>107</v>
      </c>
      <c r="H661">
        <v>9</v>
      </c>
      <c r="I661">
        <v>1800</v>
      </c>
      <c r="J661">
        <v>0</v>
      </c>
      <c r="K661" t="s">
        <v>18</v>
      </c>
      <c r="L661" t="s">
        <v>47</v>
      </c>
      <c r="M661" t="s">
        <v>183</v>
      </c>
      <c r="N661">
        <f>SalesTable[[#This Row],[الكمية]]*SalesTable[[#This Row],[سعر الوحدة]]</f>
        <v>16200</v>
      </c>
      <c r="O661">
        <f>SalesTable[[#This Row],[الكمية]]*SalesTable[[#This Row],[سعر الوحدة]]*(1-SalesTable[[#This Row],[الخصم]])</f>
        <v>16200</v>
      </c>
    </row>
    <row r="662" spans="1:15" x14ac:dyDescent="0.3">
      <c r="A662">
        <v>10661</v>
      </c>
      <c r="B662" t="s">
        <v>52</v>
      </c>
      <c r="C662" s="3">
        <v>46151</v>
      </c>
      <c r="D662" t="s">
        <v>53</v>
      </c>
      <c r="E662" t="s">
        <v>15</v>
      </c>
      <c r="F662" t="s">
        <v>16</v>
      </c>
      <c r="G662" t="s">
        <v>189</v>
      </c>
      <c r="H662">
        <v>6</v>
      </c>
      <c r="I662">
        <v>3200</v>
      </c>
      <c r="J662">
        <v>0.03</v>
      </c>
      <c r="K662" t="s">
        <v>55</v>
      </c>
      <c r="L662" t="s">
        <v>19</v>
      </c>
      <c r="M662" t="s">
        <v>116</v>
      </c>
      <c r="N662">
        <f>SalesTable[[#This Row],[الكمية]]*SalesTable[[#This Row],[سعر الوحدة]]</f>
        <v>19200</v>
      </c>
      <c r="O662">
        <f>SalesTable[[#This Row],[الكمية]]*SalesTable[[#This Row],[سعر الوحدة]]*(1-SalesTable[[#This Row],[الخصم]])</f>
        <v>18624</v>
      </c>
    </row>
    <row r="663" spans="1:15" x14ac:dyDescent="0.3">
      <c r="A663">
        <v>10662</v>
      </c>
      <c r="B663" t="s">
        <v>13</v>
      </c>
      <c r="C663" s="3">
        <v>46329</v>
      </c>
      <c r="D663" t="s">
        <v>95</v>
      </c>
      <c r="E663" t="s">
        <v>15</v>
      </c>
      <c r="F663" t="s">
        <v>16</v>
      </c>
      <c r="G663" t="s">
        <v>17</v>
      </c>
      <c r="H663">
        <v>10</v>
      </c>
      <c r="I663">
        <v>5200</v>
      </c>
      <c r="J663">
        <v>0.15</v>
      </c>
      <c r="K663" t="s">
        <v>18</v>
      </c>
      <c r="L663" t="s">
        <v>19</v>
      </c>
      <c r="M663" t="s">
        <v>282</v>
      </c>
      <c r="N663">
        <f>SalesTable[[#This Row],[الكمية]]*SalesTable[[#This Row],[سعر الوحدة]]</f>
        <v>52000</v>
      </c>
      <c r="O663">
        <f>SalesTable[[#This Row],[الكمية]]*SalesTable[[#This Row],[سعر الوحدة]]*(1-SalesTable[[#This Row],[الخصم]])</f>
        <v>44200</v>
      </c>
    </row>
    <row r="664" spans="1:15" x14ac:dyDescent="0.3">
      <c r="A664">
        <v>10663</v>
      </c>
      <c r="B664" t="s">
        <v>44</v>
      </c>
      <c r="C664" s="3">
        <v>46379</v>
      </c>
      <c r="D664" t="s">
        <v>68</v>
      </c>
      <c r="E664" t="s">
        <v>46</v>
      </c>
      <c r="F664" t="s">
        <v>64</v>
      </c>
      <c r="G664" t="s">
        <v>65</v>
      </c>
      <c r="H664">
        <v>10</v>
      </c>
      <c r="I664">
        <v>1400</v>
      </c>
      <c r="J664">
        <v>0.03</v>
      </c>
      <c r="K664" t="s">
        <v>55</v>
      </c>
      <c r="L664" t="s">
        <v>34</v>
      </c>
      <c r="M664" t="s">
        <v>352</v>
      </c>
      <c r="N664">
        <f>SalesTable[[#This Row],[الكمية]]*SalesTable[[#This Row],[سعر الوحدة]]</f>
        <v>14000</v>
      </c>
      <c r="O664">
        <f>SalesTable[[#This Row],[الكمية]]*SalesTable[[#This Row],[سعر الوحدة]]*(1-SalesTable[[#This Row],[الخصم]])</f>
        <v>13580</v>
      </c>
    </row>
    <row r="665" spans="1:15" x14ac:dyDescent="0.3">
      <c r="A665">
        <v>10664</v>
      </c>
      <c r="B665" t="s">
        <v>67</v>
      </c>
      <c r="C665" s="3">
        <v>46154</v>
      </c>
      <c r="D665" t="s">
        <v>48</v>
      </c>
      <c r="E665" t="s">
        <v>30</v>
      </c>
      <c r="F665" t="s">
        <v>16</v>
      </c>
      <c r="G665" t="s">
        <v>189</v>
      </c>
      <c r="H665">
        <v>5</v>
      </c>
      <c r="I665">
        <v>9000</v>
      </c>
      <c r="J665">
        <v>7.0000000000000007E-2</v>
      </c>
      <c r="K665" t="s">
        <v>55</v>
      </c>
      <c r="L665" t="s">
        <v>19</v>
      </c>
      <c r="M665" t="s">
        <v>143</v>
      </c>
      <c r="N665">
        <f>SalesTable[[#This Row],[الكمية]]*SalesTable[[#This Row],[سعر الوحدة]]</f>
        <v>45000</v>
      </c>
      <c r="O665">
        <f>SalesTable[[#This Row],[الكمية]]*SalesTable[[#This Row],[سعر الوحدة]]*(1-SalesTable[[#This Row],[الخصم]])</f>
        <v>41850</v>
      </c>
    </row>
    <row r="666" spans="1:15" x14ac:dyDescent="0.3">
      <c r="A666">
        <v>10665</v>
      </c>
      <c r="B666" t="s">
        <v>28</v>
      </c>
      <c r="C666" s="3">
        <v>46155</v>
      </c>
      <c r="D666" t="s">
        <v>40</v>
      </c>
      <c r="E666" t="s">
        <v>41</v>
      </c>
      <c r="F666" t="s">
        <v>24</v>
      </c>
      <c r="G666" t="s">
        <v>42</v>
      </c>
      <c r="H666">
        <v>7</v>
      </c>
      <c r="I666">
        <v>150</v>
      </c>
      <c r="J666">
        <v>0.05</v>
      </c>
      <c r="K666" t="s">
        <v>38</v>
      </c>
      <c r="L666" t="s">
        <v>26</v>
      </c>
      <c r="M666" t="s">
        <v>169</v>
      </c>
      <c r="N666">
        <f>SalesTable[[#This Row],[الكمية]]*SalesTable[[#This Row],[سعر الوحدة]]</f>
        <v>1050</v>
      </c>
      <c r="O666">
        <f>SalesTable[[#This Row],[الكمية]]*SalesTable[[#This Row],[سعر الوحدة]]*(1-SalesTable[[#This Row],[الخصم]])</f>
        <v>997.5</v>
      </c>
    </row>
    <row r="667" spans="1:15" x14ac:dyDescent="0.3">
      <c r="A667">
        <v>10666</v>
      </c>
      <c r="B667" t="s">
        <v>112</v>
      </c>
      <c r="C667" s="3">
        <v>46353</v>
      </c>
      <c r="D667" t="s">
        <v>104</v>
      </c>
      <c r="E667" t="s">
        <v>23</v>
      </c>
      <c r="F667" t="s">
        <v>59</v>
      </c>
      <c r="G667" t="s">
        <v>60</v>
      </c>
      <c r="H667">
        <v>10</v>
      </c>
      <c r="I667">
        <v>28000</v>
      </c>
      <c r="J667">
        <v>7.0000000000000007E-2</v>
      </c>
      <c r="K667" t="s">
        <v>33</v>
      </c>
      <c r="L667" t="s">
        <v>19</v>
      </c>
      <c r="M667" t="s">
        <v>225</v>
      </c>
      <c r="N667">
        <f>SalesTable[[#This Row],[الكمية]]*SalesTable[[#This Row],[سعر الوحدة]]</f>
        <v>280000</v>
      </c>
      <c r="O667">
        <f>SalesTable[[#This Row],[الكمية]]*SalesTable[[#This Row],[سعر الوحدة]]*(1-SalesTable[[#This Row],[الخصم]])</f>
        <v>260399.99999999997</v>
      </c>
    </row>
    <row r="668" spans="1:15" x14ac:dyDescent="0.3">
      <c r="A668">
        <v>10667</v>
      </c>
      <c r="B668" t="s">
        <v>44</v>
      </c>
      <c r="C668" s="3">
        <v>46249</v>
      </c>
      <c r="D668" t="s">
        <v>53</v>
      </c>
      <c r="E668" t="s">
        <v>15</v>
      </c>
      <c r="F668" t="s">
        <v>84</v>
      </c>
      <c r="G668" t="s">
        <v>120</v>
      </c>
      <c r="H668">
        <v>10</v>
      </c>
      <c r="I668">
        <v>3200</v>
      </c>
      <c r="J668">
        <v>0.15</v>
      </c>
      <c r="K668" t="s">
        <v>38</v>
      </c>
      <c r="L668" t="s">
        <v>19</v>
      </c>
      <c r="M668" t="s">
        <v>299</v>
      </c>
      <c r="N668">
        <f>SalesTable[[#This Row],[الكمية]]*SalesTable[[#This Row],[سعر الوحدة]]</f>
        <v>32000</v>
      </c>
      <c r="O668">
        <f>SalesTable[[#This Row],[الكمية]]*SalesTable[[#This Row],[سعر الوحدة]]*(1-SalesTable[[#This Row],[الخصم]])</f>
        <v>27200</v>
      </c>
    </row>
    <row r="669" spans="1:15" x14ac:dyDescent="0.3">
      <c r="A669">
        <v>10668</v>
      </c>
      <c r="B669" t="s">
        <v>62</v>
      </c>
      <c r="C669" s="3">
        <v>46099</v>
      </c>
      <c r="D669" t="s">
        <v>104</v>
      </c>
      <c r="E669" t="s">
        <v>23</v>
      </c>
      <c r="F669" t="s">
        <v>16</v>
      </c>
      <c r="G669" t="s">
        <v>79</v>
      </c>
      <c r="H669">
        <v>8</v>
      </c>
      <c r="I669">
        <v>28000</v>
      </c>
      <c r="J669">
        <v>0</v>
      </c>
      <c r="K669" t="s">
        <v>18</v>
      </c>
      <c r="L669" t="s">
        <v>19</v>
      </c>
      <c r="M669" t="s">
        <v>275</v>
      </c>
      <c r="N669">
        <f>SalesTable[[#This Row],[الكمية]]*SalesTable[[#This Row],[سعر الوحدة]]</f>
        <v>224000</v>
      </c>
      <c r="O669">
        <f>SalesTable[[#This Row],[الكمية]]*SalesTable[[#This Row],[سعر الوحدة]]*(1-SalesTable[[#This Row],[الخصم]])</f>
        <v>224000</v>
      </c>
    </row>
    <row r="670" spans="1:15" x14ac:dyDescent="0.3">
      <c r="A670">
        <v>10669</v>
      </c>
      <c r="B670" t="s">
        <v>28</v>
      </c>
      <c r="C670" s="3">
        <v>46286</v>
      </c>
      <c r="D670" t="s">
        <v>110</v>
      </c>
      <c r="E670" t="s">
        <v>46</v>
      </c>
      <c r="F670" t="s">
        <v>64</v>
      </c>
      <c r="G670" t="s">
        <v>107</v>
      </c>
      <c r="H670">
        <v>7</v>
      </c>
      <c r="I670">
        <v>450</v>
      </c>
      <c r="J670">
        <v>0.1</v>
      </c>
      <c r="K670" t="s">
        <v>33</v>
      </c>
      <c r="L670" t="s">
        <v>47</v>
      </c>
      <c r="M670" t="s">
        <v>200</v>
      </c>
      <c r="N670">
        <f>SalesTable[[#This Row],[الكمية]]*SalesTable[[#This Row],[سعر الوحدة]]</f>
        <v>3150</v>
      </c>
      <c r="O670">
        <f>SalesTable[[#This Row],[الكمية]]*SalesTable[[#This Row],[سعر الوحدة]]*(1-SalesTable[[#This Row],[الخصم]])</f>
        <v>2835</v>
      </c>
    </row>
    <row r="671" spans="1:15" x14ac:dyDescent="0.3">
      <c r="A671">
        <v>10670</v>
      </c>
      <c r="B671" t="s">
        <v>62</v>
      </c>
      <c r="C671" s="3">
        <v>46085</v>
      </c>
      <c r="D671" t="s">
        <v>29</v>
      </c>
      <c r="E671" t="s">
        <v>30</v>
      </c>
      <c r="F671" t="s">
        <v>16</v>
      </c>
      <c r="G671" t="s">
        <v>96</v>
      </c>
      <c r="H671">
        <v>1</v>
      </c>
      <c r="I671">
        <v>7500</v>
      </c>
      <c r="J671">
        <v>7.0000000000000007E-2</v>
      </c>
      <c r="K671" t="s">
        <v>38</v>
      </c>
      <c r="L671" t="s">
        <v>34</v>
      </c>
      <c r="M671" t="s">
        <v>270</v>
      </c>
      <c r="N671">
        <f>SalesTable[[#This Row],[الكمية]]*SalesTable[[#This Row],[سعر الوحدة]]</f>
        <v>7500</v>
      </c>
      <c r="O671">
        <f>SalesTable[[#This Row],[الكمية]]*SalesTable[[#This Row],[سعر الوحدة]]*(1-SalesTable[[#This Row],[الخصم]])</f>
        <v>6974.9999999999991</v>
      </c>
    </row>
    <row r="672" spans="1:15" x14ac:dyDescent="0.3">
      <c r="A672">
        <v>10671</v>
      </c>
      <c r="B672" t="s">
        <v>67</v>
      </c>
      <c r="C672" s="3">
        <v>46064</v>
      </c>
      <c r="D672" t="s">
        <v>29</v>
      </c>
      <c r="E672" t="s">
        <v>30</v>
      </c>
      <c r="F672" t="s">
        <v>24</v>
      </c>
      <c r="G672" t="s">
        <v>25</v>
      </c>
      <c r="H672">
        <v>6</v>
      </c>
      <c r="I672">
        <v>7500</v>
      </c>
      <c r="J672">
        <v>0.1</v>
      </c>
      <c r="K672" t="s">
        <v>33</v>
      </c>
      <c r="L672" t="s">
        <v>34</v>
      </c>
      <c r="M672" t="s">
        <v>286</v>
      </c>
      <c r="N672">
        <f>SalesTable[[#This Row],[الكمية]]*SalesTable[[#This Row],[سعر الوحدة]]</f>
        <v>45000</v>
      </c>
      <c r="O672">
        <f>SalesTable[[#This Row],[الكمية]]*SalesTable[[#This Row],[سعر الوحدة]]*(1-SalesTable[[#This Row],[الخصم]])</f>
        <v>40500</v>
      </c>
    </row>
    <row r="673" spans="1:15" x14ac:dyDescent="0.3">
      <c r="A673">
        <v>10672</v>
      </c>
      <c r="B673" t="s">
        <v>36</v>
      </c>
      <c r="C673" s="3">
        <v>46077</v>
      </c>
      <c r="D673" t="s">
        <v>37</v>
      </c>
      <c r="E673" t="s">
        <v>23</v>
      </c>
      <c r="F673" t="s">
        <v>24</v>
      </c>
      <c r="G673" t="s">
        <v>42</v>
      </c>
      <c r="H673">
        <v>4</v>
      </c>
      <c r="I673">
        <v>32000</v>
      </c>
      <c r="J673">
        <v>0.05</v>
      </c>
      <c r="K673" t="s">
        <v>38</v>
      </c>
      <c r="L673" t="s">
        <v>47</v>
      </c>
      <c r="M673" t="s">
        <v>325</v>
      </c>
      <c r="N673">
        <f>SalesTable[[#This Row],[الكمية]]*SalesTable[[#This Row],[سعر الوحدة]]</f>
        <v>128000</v>
      </c>
      <c r="O673">
        <f>SalesTable[[#This Row],[الكمية]]*SalesTable[[#This Row],[سعر الوحدة]]*(1-SalesTable[[#This Row],[الخصم]])</f>
        <v>121600</v>
      </c>
    </row>
    <row r="674" spans="1:15" x14ac:dyDescent="0.3">
      <c r="A674">
        <v>10673</v>
      </c>
      <c r="B674" t="s">
        <v>28</v>
      </c>
      <c r="C674" s="3">
        <v>46121</v>
      </c>
      <c r="D674" t="s">
        <v>90</v>
      </c>
      <c r="E674" t="s">
        <v>91</v>
      </c>
      <c r="F674" t="s">
        <v>59</v>
      </c>
      <c r="G674" t="s">
        <v>75</v>
      </c>
      <c r="H674">
        <v>4</v>
      </c>
      <c r="I674">
        <v>6500</v>
      </c>
      <c r="J674">
        <v>0.03</v>
      </c>
      <c r="K674" t="s">
        <v>18</v>
      </c>
      <c r="L674" t="s">
        <v>26</v>
      </c>
      <c r="M674" t="s">
        <v>253</v>
      </c>
      <c r="N674">
        <f>SalesTable[[#This Row],[الكمية]]*SalesTable[[#This Row],[سعر الوحدة]]</f>
        <v>26000</v>
      </c>
      <c r="O674">
        <f>SalesTable[[#This Row],[الكمية]]*SalesTable[[#This Row],[سعر الوحدة]]*(1-SalesTable[[#This Row],[الخصم]])</f>
        <v>25220</v>
      </c>
    </row>
    <row r="675" spans="1:15" x14ac:dyDescent="0.3">
      <c r="A675">
        <v>10674</v>
      </c>
      <c r="B675" t="s">
        <v>62</v>
      </c>
      <c r="C675" s="3">
        <v>46031</v>
      </c>
      <c r="D675" t="s">
        <v>29</v>
      </c>
      <c r="E675" t="s">
        <v>30</v>
      </c>
      <c r="F675" t="s">
        <v>16</v>
      </c>
      <c r="G675" t="s">
        <v>79</v>
      </c>
      <c r="H675">
        <v>8</v>
      </c>
      <c r="I675">
        <v>7500</v>
      </c>
      <c r="J675">
        <v>0.1</v>
      </c>
      <c r="K675" t="s">
        <v>18</v>
      </c>
      <c r="L675" t="s">
        <v>34</v>
      </c>
      <c r="M675" t="s">
        <v>56</v>
      </c>
      <c r="N675">
        <f>SalesTable[[#This Row],[الكمية]]*SalesTable[[#This Row],[سعر الوحدة]]</f>
        <v>60000</v>
      </c>
      <c r="O675">
        <f>SalesTable[[#This Row],[الكمية]]*SalesTable[[#This Row],[سعر الوحدة]]*(1-SalesTable[[#This Row],[الخصم]])</f>
        <v>54000</v>
      </c>
    </row>
    <row r="676" spans="1:15" x14ac:dyDescent="0.3">
      <c r="A676">
        <v>10675</v>
      </c>
      <c r="B676" t="s">
        <v>21</v>
      </c>
      <c r="C676" s="3">
        <v>46257</v>
      </c>
      <c r="D676" t="s">
        <v>70</v>
      </c>
      <c r="E676" t="s">
        <v>46</v>
      </c>
      <c r="F676" t="s">
        <v>24</v>
      </c>
      <c r="G676" t="s">
        <v>42</v>
      </c>
      <c r="H676">
        <v>2</v>
      </c>
      <c r="I676">
        <v>1800</v>
      </c>
      <c r="J676">
        <v>0.03</v>
      </c>
      <c r="K676" t="s">
        <v>55</v>
      </c>
      <c r="L676" t="s">
        <v>26</v>
      </c>
      <c r="M676" t="s">
        <v>80</v>
      </c>
      <c r="N676">
        <f>SalesTable[[#This Row],[الكمية]]*SalesTable[[#This Row],[سعر الوحدة]]</f>
        <v>3600</v>
      </c>
      <c r="O676">
        <f>SalesTable[[#This Row],[الكمية]]*SalesTable[[#This Row],[سعر الوحدة]]*(1-SalesTable[[#This Row],[الخصم]])</f>
        <v>3492</v>
      </c>
    </row>
    <row r="677" spans="1:15" x14ac:dyDescent="0.3">
      <c r="A677">
        <v>10676</v>
      </c>
      <c r="B677" t="s">
        <v>94</v>
      </c>
      <c r="C677" s="3">
        <v>46046</v>
      </c>
      <c r="D677" t="s">
        <v>22</v>
      </c>
      <c r="E677" t="s">
        <v>23</v>
      </c>
      <c r="F677" t="s">
        <v>64</v>
      </c>
      <c r="G677" t="s">
        <v>65</v>
      </c>
      <c r="H677">
        <v>1</v>
      </c>
      <c r="I677">
        <v>25000</v>
      </c>
      <c r="J677">
        <v>7.0000000000000007E-2</v>
      </c>
      <c r="K677" t="s">
        <v>55</v>
      </c>
      <c r="L677" t="s">
        <v>26</v>
      </c>
      <c r="M677" t="s">
        <v>241</v>
      </c>
      <c r="N677">
        <f>SalesTable[[#This Row],[الكمية]]*SalesTable[[#This Row],[سعر الوحدة]]</f>
        <v>25000</v>
      </c>
      <c r="O677">
        <f>SalesTable[[#This Row],[الكمية]]*SalesTable[[#This Row],[سعر الوحدة]]*(1-SalesTable[[#This Row],[الخصم]])</f>
        <v>23250</v>
      </c>
    </row>
    <row r="678" spans="1:15" x14ac:dyDescent="0.3">
      <c r="A678">
        <v>10677</v>
      </c>
      <c r="B678" t="s">
        <v>94</v>
      </c>
      <c r="C678" s="3">
        <v>46110</v>
      </c>
      <c r="D678" t="s">
        <v>37</v>
      </c>
      <c r="E678" t="s">
        <v>23</v>
      </c>
      <c r="F678" t="s">
        <v>24</v>
      </c>
      <c r="G678" t="s">
        <v>57</v>
      </c>
      <c r="H678">
        <v>2</v>
      </c>
      <c r="I678">
        <v>32000</v>
      </c>
      <c r="J678">
        <v>7.0000000000000007E-2</v>
      </c>
      <c r="K678" t="s">
        <v>18</v>
      </c>
      <c r="L678" t="s">
        <v>19</v>
      </c>
      <c r="M678" t="s">
        <v>319</v>
      </c>
      <c r="N678">
        <f>SalesTable[[#This Row],[الكمية]]*SalesTable[[#This Row],[سعر الوحدة]]</f>
        <v>64000</v>
      </c>
      <c r="O678">
        <f>SalesTable[[#This Row],[الكمية]]*SalesTable[[#This Row],[سعر الوحدة]]*(1-SalesTable[[#This Row],[الخصم]])</f>
        <v>59519.999999999993</v>
      </c>
    </row>
    <row r="679" spans="1:15" x14ac:dyDescent="0.3">
      <c r="A679">
        <v>10678</v>
      </c>
      <c r="B679" t="s">
        <v>67</v>
      </c>
      <c r="C679" s="3">
        <v>46370</v>
      </c>
      <c r="D679" t="s">
        <v>48</v>
      </c>
      <c r="E679" t="s">
        <v>30</v>
      </c>
      <c r="F679" t="s">
        <v>31</v>
      </c>
      <c r="G679" t="s">
        <v>54</v>
      </c>
      <c r="H679">
        <v>4</v>
      </c>
      <c r="I679">
        <v>9000</v>
      </c>
      <c r="J679">
        <v>7.0000000000000007E-2</v>
      </c>
      <c r="K679" t="s">
        <v>33</v>
      </c>
      <c r="L679" t="s">
        <v>34</v>
      </c>
      <c r="M679" t="s">
        <v>287</v>
      </c>
      <c r="N679">
        <f>SalesTable[[#This Row],[الكمية]]*SalesTable[[#This Row],[سعر الوحدة]]</f>
        <v>36000</v>
      </c>
      <c r="O679">
        <f>SalesTable[[#This Row],[الكمية]]*SalesTable[[#This Row],[سعر الوحدة]]*(1-SalesTable[[#This Row],[الخصم]])</f>
        <v>33480</v>
      </c>
    </row>
    <row r="680" spans="1:15" x14ac:dyDescent="0.3">
      <c r="A680">
        <v>10679</v>
      </c>
      <c r="B680" t="s">
        <v>94</v>
      </c>
      <c r="C680" s="3">
        <v>46111</v>
      </c>
      <c r="D680" t="s">
        <v>14</v>
      </c>
      <c r="E680" t="s">
        <v>15</v>
      </c>
      <c r="F680" t="s">
        <v>64</v>
      </c>
      <c r="G680" t="s">
        <v>107</v>
      </c>
      <c r="H680">
        <v>4</v>
      </c>
      <c r="I680">
        <v>650</v>
      </c>
      <c r="J680">
        <v>0</v>
      </c>
      <c r="K680" t="s">
        <v>38</v>
      </c>
      <c r="L680" t="s">
        <v>19</v>
      </c>
      <c r="M680" t="s">
        <v>287</v>
      </c>
      <c r="N680">
        <f>SalesTable[[#This Row],[الكمية]]*SalesTable[[#This Row],[سعر الوحدة]]</f>
        <v>2600</v>
      </c>
      <c r="O680">
        <f>SalesTable[[#This Row],[الكمية]]*SalesTable[[#This Row],[سعر الوحدة]]*(1-SalesTable[[#This Row],[الخصم]])</f>
        <v>2600</v>
      </c>
    </row>
    <row r="681" spans="1:15" x14ac:dyDescent="0.3">
      <c r="A681">
        <v>10680</v>
      </c>
      <c r="B681" t="s">
        <v>67</v>
      </c>
      <c r="C681" s="3">
        <v>46306</v>
      </c>
      <c r="D681" t="s">
        <v>110</v>
      </c>
      <c r="E681" t="s">
        <v>46</v>
      </c>
      <c r="F681" t="s">
        <v>64</v>
      </c>
      <c r="G681" t="s">
        <v>65</v>
      </c>
      <c r="H681">
        <v>3</v>
      </c>
      <c r="I681">
        <v>450</v>
      </c>
      <c r="J681">
        <v>0.15</v>
      </c>
      <c r="K681" t="s">
        <v>55</v>
      </c>
      <c r="L681" t="s">
        <v>47</v>
      </c>
      <c r="M681" t="s">
        <v>139</v>
      </c>
      <c r="N681">
        <f>SalesTable[[#This Row],[الكمية]]*SalesTable[[#This Row],[سعر الوحدة]]</f>
        <v>1350</v>
      </c>
      <c r="O681">
        <f>SalesTable[[#This Row],[الكمية]]*SalesTable[[#This Row],[سعر الوحدة]]*(1-SalesTable[[#This Row],[الخصم]])</f>
        <v>1147.5</v>
      </c>
    </row>
    <row r="682" spans="1:15" x14ac:dyDescent="0.3">
      <c r="A682">
        <v>10681</v>
      </c>
      <c r="B682" t="s">
        <v>94</v>
      </c>
      <c r="C682" s="3">
        <v>46215</v>
      </c>
      <c r="D682" t="s">
        <v>90</v>
      </c>
      <c r="E682" t="s">
        <v>91</v>
      </c>
      <c r="F682" t="s">
        <v>24</v>
      </c>
      <c r="G682" t="s">
        <v>73</v>
      </c>
      <c r="H682">
        <v>2</v>
      </c>
      <c r="I682">
        <v>6500</v>
      </c>
      <c r="J682">
        <v>0.15</v>
      </c>
      <c r="K682" t="s">
        <v>55</v>
      </c>
      <c r="L682" t="s">
        <v>19</v>
      </c>
      <c r="M682" t="s">
        <v>256</v>
      </c>
      <c r="N682">
        <f>SalesTable[[#This Row],[الكمية]]*SalesTable[[#This Row],[سعر الوحدة]]</f>
        <v>13000</v>
      </c>
      <c r="O682">
        <f>SalesTable[[#This Row],[الكمية]]*SalesTable[[#This Row],[سعر الوحدة]]*(1-SalesTable[[#This Row],[الخصم]])</f>
        <v>11050</v>
      </c>
    </row>
    <row r="683" spans="1:15" x14ac:dyDescent="0.3">
      <c r="A683">
        <v>10682</v>
      </c>
      <c r="B683" t="s">
        <v>94</v>
      </c>
      <c r="C683" s="3">
        <v>46168</v>
      </c>
      <c r="D683" t="s">
        <v>104</v>
      </c>
      <c r="E683" t="s">
        <v>23</v>
      </c>
      <c r="F683" t="s">
        <v>24</v>
      </c>
      <c r="G683" t="s">
        <v>25</v>
      </c>
      <c r="H683">
        <v>3</v>
      </c>
      <c r="I683">
        <v>28000</v>
      </c>
      <c r="J683">
        <v>0</v>
      </c>
      <c r="K683" t="s">
        <v>33</v>
      </c>
      <c r="L683" t="s">
        <v>47</v>
      </c>
      <c r="M683" t="s">
        <v>137</v>
      </c>
      <c r="N683">
        <f>SalesTable[[#This Row],[الكمية]]*SalesTable[[#This Row],[سعر الوحدة]]</f>
        <v>84000</v>
      </c>
      <c r="O683">
        <f>SalesTable[[#This Row],[الكمية]]*SalesTable[[#This Row],[سعر الوحدة]]*(1-SalesTable[[#This Row],[الخصم]])</f>
        <v>84000</v>
      </c>
    </row>
    <row r="684" spans="1:15" x14ac:dyDescent="0.3">
      <c r="A684">
        <v>10683</v>
      </c>
      <c r="B684" t="s">
        <v>36</v>
      </c>
      <c r="C684" s="3">
        <v>46145</v>
      </c>
      <c r="D684" t="s">
        <v>45</v>
      </c>
      <c r="E684" t="s">
        <v>46</v>
      </c>
      <c r="F684" t="s">
        <v>64</v>
      </c>
      <c r="G684" t="s">
        <v>107</v>
      </c>
      <c r="H684">
        <v>9</v>
      </c>
      <c r="I684">
        <v>1200</v>
      </c>
      <c r="J684">
        <v>7.0000000000000007E-2</v>
      </c>
      <c r="K684" t="s">
        <v>55</v>
      </c>
      <c r="L684" t="s">
        <v>19</v>
      </c>
      <c r="M684" t="s">
        <v>159</v>
      </c>
      <c r="N684">
        <f>SalesTable[[#This Row],[الكمية]]*SalesTable[[#This Row],[سعر الوحدة]]</f>
        <v>10800</v>
      </c>
      <c r="O684">
        <f>SalesTable[[#This Row],[الكمية]]*SalesTable[[#This Row],[سعر الوحدة]]*(1-SalesTable[[#This Row],[الخصم]])</f>
        <v>10044</v>
      </c>
    </row>
    <row r="685" spans="1:15" x14ac:dyDescent="0.3">
      <c r="A685">
        <v>10684</v>
      </c>
      <c r="B685" t="s">
        <v>52</v>
      </c>
      <c r="C685" s="3">
        <v>46201</v>
      </c>
      <c r="D685" t="s">
        <v>81</v>
      </c>
      <c r="E685" t="s">
        <v>41</v>
      </c>
      <c r="F685" t="s">
        <v>59</v>
      </c>
      <c r="G685" t="s">
        <v>75</v>
      </c>
      <c r="H685">
        <v>2</v>
      </c>
      <c r="I685">
        <v>2200</v>
      </c>
      <c r="J685">
        <v>0.15</v>
      </c>
      <c r="K685" t="s">
        <v>33</v>
      </c>
      <c r="L685" t="s">
        <v>19</v>
      </c>
      <c r="M685" t="s">
        <v>210</v>
      </c>
      <c r="N685">
        <f>SalesTable[[#This Row],[الكمية]]*SalesTable[[#This Row],[سعر الوحدة]]</f>
        <v>4400</v>
      </c>
      <c r="O685">
        <f>SalesTable[[#This Row],[الكمية]]*SalesTable[[#This Row],[سعر الوحدة]]*(1-SalesTable[[#This Row],[الخصم]])</f>
        <v>3740</v>
      </c>
    </row>
    <row r="686" spans="1:15" x14ac:dyDescent="0.3">
      <c r="A686">
        <v>10685</v>
      </c>
      <c r="B686" t="s">
        <v>94</v>
      </c>
      <c r="C686" s="3">
        <v>46208</v>
      </c>
      <c r="D686" t="s">
        <v>45</v>
      </c>
      <c r="E686" t="s">
        <v>46</v>
      </c>
      <c r="F686" t="s">
        <v>31</v>
      </c>
      <c r="G686" t="s">
        <v>54</v>
      </c>
      <c r="H686">
        <v>9</v>
      </c>
      <c r="I686">
        <v>1200</v>
      </c>
      <c r="J686">
        <v>0</v>
      </c>
      <c r="K686" t="s">
        <v>55</v>
      </c>
      <c r="L686" t="s">
        <v>47</v>
      </c>
      <c r="M686" t="s">
        <v>353</v>
      </c>
      <c r="N686">
        <f>SalesTable[[#This Row],[الكمية]]*SalesTable[[#This Row],[سعر الوحدة]]</f>
        <v>10800</v>
      </c>
      <c r="O686">
        <f>SalesTable[[#This Row],[الكمية]]*SalesTable[[#This Row],[سعر الوحدة]]*(1-SalesTable[[#This Row],[الخصم]])</f>
        <v>10800</v>
      </c>
    </row>
    <row r="687" spans="1:15" x14ac:dyDescent="0.3">
      <c r="A687">
        <v>10686</v>
      </c>
      <c r="B687" t="s">
        <v>62</v>
      </c>
      <c r="C687" s="3">
        <v>46277</v>
      </c>
      <c r="D687" t="s">
        <v>110</v>
      </c>
      <c r="E687" t="s">
        <v>46</v>
      </c>
      <c r="F687" t="s">
        <v>24</v>
      </c>
      <c r="G687" t="s">
        <v>73</v>
      </c>
      <c r="H687">
        <v>2</v>
      </c>
      <c r="I687">
        <v>450</v>
      </c>
      <c r="J687">
        <v>0.03</v>
      </c>
      <c r="K687" t="s">
        <v>55</v>
      </c>
      <c r="L687" t="s">
        <v>26</v>
      </c>
      <c r="M687" t="s">
        <v>119</v>
      </c>
      <c r="N687">
        <f>SalesTable[[#This Row],[الكمية]]*SalesTable[[#This Row],[سعر الوحدة]]</f>
        <v>900</v>
      </c>
      <c r="O687">
        <f>SalesTable[[#This Row],[الكمية]]*SalesTable[[#This Row],[سعر الوحدة]]*(1-SalesTable[[#This Row],[الخصم]])</f>
        <v>873</v>
      </c>
    </row>
    <row r="688" spans="1:15" x14ac:dyDescent="0.3">
      <c r="A688">
        <v>10687</v>
      </c>
      <c r="B688" t="s">
        <v>52</v>
      </c>
      <c r="C688" s="3">
        <v>46194</v>
      </c>
      <c r="D688" t="s">
        <v>22</v>
      </c>
      <c r="E688" t="s">
        <v>23</v>
      </c>
      <c r="F688" t="s">
        <v>49</v>
      </c>
      <c r="G688" t="s">
        <v>98</v>
      </c>
      <c r="H688">
        <v>4</v>
      </c>
      <c r="I688">
        <v>25000</v>
      </c>
      <c r="J688">
        <v>7.0000000000000007E-2</v>
      </c>
      <c r="K688" t="s">
        <v>33</v>
      </c>
      <c r="L688" t="s">
        <v>19</v>
      </c>
      <c r="M688" t="s">
        <v>285</v>
      </c>
      <c r="N688">
        <f>SalesTable[[#This Row],[الكمية]]*SalesTable[[#This Row],[سعر الوحدة]]</f>
        <v>100000</v>
      </c>
      <c r="O688">
        <f>SalesTable[[#This Row],[الكمية]]*SalesTable[[#This Row],[سعر الوحدة]]*(1-SalesTable[[#This Row],[الخصم]])</f>
        <v>93000</v>
      </c>
    </row>
    <row r="689" spans="1:15" x14ac:dyDescent="0.3">
      <c r="A689">
        <v>10688</v>
      </c>
      <c r="B689" t="s">
        <v>62</v>
      </c>
      <c r="C689" s="3">
        <v>46286</v>
      </c>
      <c r="D689" t="s">
        <v>81</v>
      </c>
      <c r="E689" t="s">
        <v>41</v>
      </c>
      <c r="F689" t="s">
        <v>24</v>
      </c>
      <c r="G689" t="s">
        <v>73</v>
      </c>
      <c r="H689">
        <v>3</v>
      </c>
      <c r="I689">
        <v>2200</v>
      </c>
      <c r="J689">
        <v>0</v>
      </c>
      <c r="K689" t="s">
        <v>18</v>
      </c>
      <c r="L689" t="s">
        <v>19</v>
      </c>
      <c r="M689" t="s">
        <v>354</v>
      </c>
      <c r="N689">
        <f>SalesTable[[#This Row],[الكمية]]*SalesTable[[#This Row],[سعر الوحدة]]</f>
        <v>6600</v>
      </c>
      <c r="O689">
        <f>SalesTable[[#This Row],[الكمية]]*SalesTable[[#This Row],[سعر الوحدة]]*(1-SalesTable[[#This Row],[الخصم]])</f>
        <v>6600</v>
      </c>
    </row>
    <row r="690" spans="1:15" x14ac:dyDescent="0.3">
      <c r="A690">
        <v>10689</v>
      </c>
      <c r="B690" t="s">
        <v>36</v>
      </c>
      <c r="C690" s="3">
        <v>46124</v>
      </c>
      <c r="D690" t="s">
        <v>81</v>
      </c>
      <c r="E690" t="s">
        <v>41</v>
      </c>
      <c r="F690" t="s">
        <v>59</v>
      </c>
      <c r="G690" t="s">
        <v>75</v>
      </c>
      <c r="H690">
        <v>10</v>
      </c>
      <c r="I690">
        <v>2200</v>
      </c>
      <c r="J690">
        <v>0.05</v>
      </c>
      <c r="K690" t="s">
        <v>38</v>
      </c>
      <c r="L690" t="s">
        <v>26</v>
      </c>
      <c r="M690" t="s">
        <v>186</v>
      </c>
      <c r="N690">
        <f>SalesTable[[#This Row],[الكمية]]*SalesTable[[#This Row],[سعر الوحدة]]</f>
        <v>22000</v>
      </c>
      <c r="O690">
        <f>SalesTable[[#This Row],[الكمية]]*SalesTable[[#This Row],[سعر الوحدة]]*(1-SalesTable[[#This Row],[الخصم]])</f>
        <v>20900</v>
      </c>
    </row>
    <row r="691" spans="1:15" x14ac:dyDescent="0.3">
      <c r="A691">
        <v>10690</v>
      </c>
      <c r="B691" t="s">
        <v>36</v>
      </c>
      <c r="C691" s="3">
        <v>46125</v>
      </c>
      <c r="D691" t="s">
        <v>70</v>
      </c>
      <c r="E691" t="s">
        <v>46</v>
      </c>
      <c r="F691" t="s">
        <v>31</v>
      </c>
      <c r="G691" t="s">
        <v>54</v>
      </c>
      <c r="H691">
        <v>4</v>
      </c>
      <c r="I691">
        <v>1800</v>
      </c>
      <c r="J691">
        <v>0.15</v>
      </c>
      <c r="K691" t="s">
        <v>33</v>
      </c>
      <c r="L691" t="s">
        <v>26</v>
      </c>
      <c r="M691" t="s">
        <v>322</v>
      </c>
      <c r="N691">
        <f>SalesTable[[#This Row],[الكمية]]*SalesTable[[#This Row],[سعر الوحدة]]</f>
        <v>7200</v>
      </c>
      <c r="O691">
        <f>SalesTable[[#This Row],[الكمية]]*SalesTable[[#This Row],[سعر الوحدة]]*(1-SalesTable[[#This Row],[الخصم]])</f>
        <v>6120</v>
      </c>
    </row>
    <row r="692" spans="1:15" x14ac:dyDescent="0.3">
      <c r="A692">
        <v>10691</v>
      </c>
      <c r="B692" t="s">
        <v>13</v>
      </c>
      <c r="C692" s="3">
        <v>46335</v>
      </c>
      <c r="D692" t="s">
        <v>48</v>
      </c>
      <c r="E692" t="s">
        <v>30</v>
      </c>
      <c r="F692" t="s">
        <v>59</v>
      </c>
      <c r="G692" t="s">
        <v>60</v>
      </c>
      <c r="H692">
        <v>7</v>
      </c>
      <c r="I692">
        <v>9000</v>
      </c>
      <c r="J692">
        <v>0.03</v>
      </c>
      <c r="K692" t="s">
        <v>33</v>
      </c>
      <c r="L692" t="s">
        <v>26</v>
      </c>
      <c r="M692" t="s">
        <v>292</v>
      </c>
      <c r="N692">
        <f>SalesTable[[#This Row],[الكمية]]*SalesTable[[#This Row],[سعر الوحدة]]</f>
        <v>63000</v>
      </c>
      <c r="O692">
        <f>SalesTable[[#This Row],[الكمية]]*SalesTable[[#This Row],[سعر الوحدة]]*(1-SalesTable[[#This Row],[الخصم]])</f>
        <v>61110</v>
      </c>
    </row>
    <row r="693" spans="1:15" x14ac:dyDescent="0.3">
      <c r="A693">
        <v>10692</v>
      </c>
      <c r="B693" t="s">
        <v>67</v>
      </c>
      <c r="C693" s="3">
        <v>46161</v>
      </c>
      <c r="D693" t="s">
        <v>70</v>
      </c>
      <c r="E693" t="s">
        <v>46</v>
      </c>
      <c r="F693" t="s">
        <v>64</v>
      </c>
      <c r="G693" t="s">
        <v>65</v>
      </c>
      <c r="H693">
        <v>4</v>
      </c>
      <c r="I693">
        <v>1800</v>
      </c>
      <c r="J693">
        <v>0.15</v>
      </c>
      <c r="K693" t="s">
        <v>55</v>
      </c>
      <c r="L693" t="s">
        <v>34</v>
      </c>
      <c r="M693" t="s">
        <v>74</v>
      </c>
      <c r="N693">
        <f>SalesTable[[#This Row],[الكمية]]*SalesTable[[#This Row],[سعر الوحدة]]</f>
        <v>7200</v>
      </c>
      <c r="O693">
        <f>SalesTable[[#This Row],[الكمية]]*SalesTable[[#This Row],[سعر الوحدة]]*(1-SalesTable[[#This Row],[الخصم]])</f>
        <v>6120</v>
      </c>
    </row>
    <row r="694" spans="1:15" x14ac:dyDescent="0.3">
      <c r="A694">
        <v>10693</v>
      </c>
      <c r="B694" t="s">
        <v>62</v>
      </c>
      <c r="C694" s="3">
        <v>46257</v>
      </c>
      <c r="D694" t="s">
        <v>22</v>
      </c>
      <c r="E694" t="s">
        <v>23</v>
      </c>
      <c r="F694" t="s">
        <v>24</v>
      </c>
      <c r="G694" t="s">
        <v>57</v>
      </c>
      <c r="H694">
        <v>3</v>
      </c>
      <c r="I694">
        <v>25000</v>
      </c>
      <c r="J694">
        <v>0</v>
      </c>
      <c r="K694" t="s">
        <v>33</v>
      </c>
      <c r="L694" t="s">
        <v>26</v>
      </c>
      <c r="M694" t="s">
        <v>280</v>
      </c>
      <c r="N694">
        <f>SalesTable[[#This Row],[الكمية]]*SalesTable[[#This Row],[سعر الوحدة]]</f>
        <v>75000</v>
      </c>
      <c r="O694">
        <f>SalesTable[[#This Row],[الكمية]]*SalesTable[[#This Row],[سعر الوحدة]]*(1-SalesTable[[#This Row],[الخصم]])</f>
        <v>75000</v>
      </c>
    </row>
    <row r="695" spans="1:15" x14ac:dyDescent="0.3">
      <c r="A695">
        <v>10694</v>
      </c>
      <c r="B695" t="s">
        <v>94</v>
      </c>
      <c r="C695" s="3">
        <v>46110</v>
      </c>
      <c r="D695" t="s">
        <v>45</v>
      </c>
      <c r="E695" t="s">
        <v>46</v>
      </c>
      <c r="F695" t="s">
        <v>87</v>
      </c>
      <c r="G695" t="s">
        <v>103</v>
      </c>
      <c r="H695">
        <v>3</v>
      </c>
      <c r="I695">
        <v>1200</v>
      </c>
      <c r="J695">
        <v>0.15</v>
      </c>
      <c r="K695" t="s">
        <v>55</v>
      </c>
      <c r="L695" t="s">
        <v>19</v>
      </c>
      <c r="M695" t="s">
        <v>194</v>
      </c>
      <c r="N695">
        <f>SalesTable[[#This Row],[الكمية]]*SalesTable[[#This Row],[سعر الوحدة]]</f>
        <v>3600</v>
      </c>
      <c r="O695">
        <f>SalesTable[[#This Row],[الكمية]]*SalesTable[[#This Row],[سعر الوحدة]]*(1-SalesTable[[#This Row],[الخصم]])</f>
        <v>3060</v>
      </c>
    </row>
    <row r="696" spans="1:15" x14ac:dyDescent="0.3">
      <c r="A696">
        <v>10695</v>
      </c>
      <c r="B696" t="s">
        <v>62</v>
      </c>
      <c r="C696" s="3">
        <v>46165</v>
      </c>
      <c r="D696" t="s">
        <v>68</v>
      </c>
      <c r="E696" t="s">
        <v>46</v>
      </c>
      <c r="F696" t="s">
        <v>59</v>
      </c>
      <c r="G696" t="s">
        <v>60</v>
      </c>
      <c r="H696">
        <v>10</v>
      </c>
      <c r="I696">
        <v>1400</v>
      </c>
      <c r="J696">
        <v>7.0000000000000007E-2</v>
      </c>
      <c r="K696" t="s">
        <v>18</v>
      </c>
      <c r="L696" t="s">
        <v>47</v>
      </c>
      <c r="M696" t="s">
        <v>78</v>
      </c>
      <c r="N696">
        <f>SalesTable[[#This Row],[الكمية]]*SalesTable[[#This Row],[سعر الوحدة]]</f>
        <v>14000</v>
      </c>
      <c r="O696">
        <f>SalesTable[[#This Row],[الكمية]]*SalesTable[[#This Row],[سعر الوحدة]]*(1-SalesTable[[#This Row],[الخصم]])</f>
        <v>13020</v>
      </c>
    </row>
    <row r="697" spans="1:15" x14ac:dyDescent="0.3">
      <c r="A697">
        <v>10696</v>
      </c>
      <c r="B697" t="s">
        <v>94</v>
      </c>
      <c r="C697" s="3">
        <v>46099</v>
      </c>
      <c r="D697" t="s">
        <v>45</v>
      </c>
      <c r="E697" t="s">
        <v>46</v>
      </c>
      <c r="F697" t="s">
        <v>49</v>
      </c>
      <c r="G697" t="s">
        <v>98</v>
      </c>
      <c r="H697">
        <v>10</v>
      </c>
      <c r="I697">
        <v>1200</v>
      </c>
      <c r="J697">
        <v>0.03</v>
      </c>
      <c r="K697" t="s">
        <v>18</v>
      </c>
      <c r="L697" t="s">
        <v>47</v>
      </c>
      <c r="M697" t="s">
        <v>119</v>
      </c>
      <c r="N697">
        <f>SalesTable[[#This Row],[الكمية]]*SalesTable[[#This Row],[سعر الوحدة]]</f>
        <v>12000</v>
      </c>
      <c r="O697">
        <f>SalesTable[[#This Row],[الكمية]]*SalesTable[[#This Row],[سعر الوحدة]]*(1-SalesTable[[#This Row],[الخصم]])</f>
        <v>11640</v>
      </c>
    </row>
    <row r="698" spans="1:15" x14ac:dyDescent="0.3">
      <c r="A698">
        <v>10697</v>
      </c>
      <c r="B698" t="s">
        <v>36</v>
      </c>
      <c r="C698" s="3">
        <v>46294</v>
      </c>
      <c r="D698" t="s">
        <v>22</v>
      </c>
      <c r="E698" t="s">
        <v>23</v>
      </c>
      <c r="F698" t="s">
        <v>59</v>
      </c>
      <c r="G698" t="s">
        <v>75</v>
      </c>
      <c r="H698">
        <v>9</v>
      </c>
      <c r="I698">
        <v>25000</v>
      </c>
      <c r="J698">
        <v>0</v>
      </c>
      <c r="K698" t="s">
        <v>33</v>
      </c>
      <c r="L698" t="s">
        <v>47</v>
      </c>
      <c r="M698" t="s">
        <v>183</v>
      </c>
      <c r="N698">
        <f>SalesTable[[#This Row],[الكمية]]*SalesTable[[#This Row],[سعر الوحدة]]</f>
        <v>225000</v>
      </c>
      <c r="O698">
        <f>SalesTable[[#This Row],[الكمية]]*SalesTable[[#This Row],[سعر الوحدة]]*(1-SalesTable[[#This Row],[الخصم]])</f>
        <v>225000</v>
      </c>
    </row>
    <row r="699" spans="1:15" x14ac:dyDescent="0.3">
      <c r="A699">
        <v>10698</v>
      </c>
      <c r="B699" t="s">
        <v>28</v>
      </c>
      <c r="C699" s="3">
        <v>46377</v>
      </c>
      <c r="D699" t="s">
        <v>48</v>
      </c>
      <c r="E699" t="s">
        <v>30</v>
      </c>
      <c r="F699" t="s">
        <v>59</v>
      </c>
      <c r="G699" t="s">
        <v>60</v>
      </c>
      <c r="H699">
        <v>2</v>
      </c>
      <c r="I699">
        <v>9000</v>
      </c>
      <c r="J699">
        <v>0.1</v>
      </c>
      <c r="K699" t="s">
        <v>33</v>
      </c>
      <c r="L699" t="s">
        <v>26</v>
      </c>
      <c r="M699" t="s">
        <v>99</v>
      </c>
      <c r="N699">
        <f>SalesTable[[#This Row],[الكمية]]*SalesTable[[#This Row],[سعر الوحدة]]</f>
        <v>18000</v>
      </c>
      <c r="O699">
        <f>SalesTable[[#This Row],[الكمية]]*SalesTable[[#This Row],[سعر الوحدة]]*(1-SalesTable[[#This Row],[الخصم]])</f>
        <v>16200</v>
      </c>
    </row>
    <row r="700" spans="1:15" x14ac:dyDescent="0.3">
      <c r="A700">
        <v>10699</v>
      </c>
      <c r="B700" t="s">
        <v>62</v>
      </c>
      <c r="C700" s="3">
        <v>46365</v>
      </c>
      <c r="D700" t="s">
        <v>70</v>
      </c>
      <c r="E700" t="s">
        <v>46</v>
      </c>
      <c r="F700" t="s">
        <v>87</v>
      </c>
      <c r="G700" t="s">
        <v>101</v>
      </c>
      <c r="H700">
        <v>2</v>
      </c>
      <c r="I700">
        <v>1800</v>
      </c>
      <c r="J700">
        <v>0</v>
      </c>
      <c r="K700" t="s">
        <v>38</v>
      </c>
      <c r="L700" t="s">
        <v>26</v>
      </c>
      <c r="M700" t="s">
        <v>355</v>
      </c>
      <c r="N700">
        <f>SalesTable[[#This Row],[الكمية]]*SalesTable[[#This Row],[سعر الوحدة]]</f>
        <v>3600</v>
      </c>
      <c r="O700">
        <f>SalesTable[[#This Row],[الكمية]]*SalesTable[[#This Row],[سعر الوحدة]]*(1-SalesTable[[#This Row],[الخصم]])</f>
        <v>3600</v>
      </c>
    </row>
    <row r="701" spans="1:15" x14ac:dyDescent="0.3">
      <c r="A701">
        <v>10700</v>
      </c>
      <c r="B701" t="s">
        <v>36</v>
      </c>
      <c r="C701" s="3">
        <v>46117</v>
      </c>
      <c r="D701" t="s">
        <v>68</v>
      </c>
      <c r="E701" t="s">
        <v>46</v>
      </c>
      <c r="F701" t="s">
        <v>24</v>
      </c>
      <c r="G701" t="s">
        <v>42</v>
      </c>
      <c r="H701">
        <v>8</v>
      </c>
      <c r="I701">
        <v>1400</v>
      </c>
      <c r="J701">
        <v>0.03</v>
      </c>
      <c r="K701" t="s">
        <v>38</v>
      </c>
      <c r="L701" t="s">
        <v>47</v>
      </c>
      <c r="M701" t="s">
        <v>298</v>
      </c>
      <c r="N701">
        <f>SalesTable[[#This Row],[الكمية]]*SalesTable[[#This Row],[سعر الوحدة]]</f>
        <v>11200</v>
      </c>
      <c r="O701">
        <f>SalesTable[[#This Row],[الكمية]]*SalesTable[[#This Row],[سعر الوحدة]]*(1-SalesTable[[#This Row],[الخصم]])</f>
        <v>10864</v>
      </c>
    </row>
    <row r="702" spans="1:15" x14ac:dyDescent="0.3">
      <c r="A702">
        <v>10701</v>
      </c>
      <c r="B702" t="s">
        <v>28</v>
      </c>
      <c r="C702" s="3">
        <v>46174</v>
      </c>
      <c r="D702" t="s">
        <v>68</v>
      </c>
      <c r="E702" t="s">
        <v>46</v>
      </c>
      <c r="F702" t="s">
        <v>16</v>
      </c>
      <c r="G702" t="s">
        <v>189</v>
      </c>
      <c r="H702">
        <v>6</v>
      </c>
      <c r="I702">
        <v>1400</v>
      </c>
      <c r="J702">
        <v>0.1</v>
      </c>
      <c r="K702" t="s">
        <v>33</v>
      </c>
      <c r="L702" t="s">
        <v>34</v>
      </c>
      <c r="M702" t="s">
        <v>171</v>
      </c>
      <c r="N702">
        <f>SalesTable[[#This Row],[الكمية]]*SalesTable[[#This Row],[سعر الوحدة]]</f>
        <v>8400</v>
      </c>
      <c r="O702">
        <f>SalesTable[[#This Row],[الكمية]]*SalesTable[[#This Row],[سعر الوحدة]]*(1-SalesTable[[#This Row],[الخصم]])</f>
        <v>7560</v>
      </c>
    </row>
    <row r="703" spans="1:15" x14ac:dyDescent="0.3">
      <c r="A703">
        <v>10702</v>
      </c>
      <c r="B703" t="s">
        <v>67</v>
      </c>
      <c r="C703" s="3">
        <v>46051</v>
      </c>
      <c r="D703" t="s">
        <v>95</v>
      </c>
      <c r="E703" t="s">
        <v>15</v>
      </c>
      <c r="F703" t="s">
        <v>31</v>
      </c>
      <c r="G703" t="s">
        <v>77</v>
      </c>
      <c r="H703">
        <v>2</v>
      </c>
      <c r="I703">
        <v>5200</v>
      </c>
      <c r="J703">
        <v>0.1</v>
      </c>
      <c r="K703" t="s">
        <v>38</v>
      </c>
      <c r="L703" t="s">
        <v>19</v>
      </c>
      <c r="M703" t="s">
        <v>186</v>
      </c>
      <c r="N703">
        <f>SalesTable[[#This Row],[الكمية]]*SalesTable[[#This Row],[سعر الوحدة]]</f>
        <v>10400</v>
      </c>
      <c r="O703">
        <f>SalesTable[[#This Row],[الكمية]]*SalesTable[[#This Row],[سعر الوحدة]]*(1-SalesTable[[#This Row],[الخصم]])</f>
        <v>9360</v>
      </c>
    </row>
    <row r="704" spans="1:15" x14ac:dyDescent="0.3">
      <c r="A704">
        <v>10703</v>
      </c>
      <c r="B704" t="s">
        <v>67</v>
      </c>
      <c r="C704" s="3">
        <v>46210</v>
      </c>
      <c r="D704" t="s">
        <v>29</v>
      </c>
      <c r="E704" t="s">
        <v>30</v>
      </c>
      <c r="F704" t="s">
        <v>49</v>
      </c>
      <c r="G704" t="s">
        <v>98</v>
      </c>
      <c r="H704">
        <v>10</v>
      </c>
      <c r="I704">
        <v>7500</v>
      </c>
      <c r="J704">
        <v>0</v>
      </c>
      <c r="K704" t="s">
        <v>55</v>
      </c>
      <c r="L704" t="s">
        <v>19</v>
      </c>
      <c r="M704" t="s">
        <v>356</v>
      </c>
      <c r="N704">
        <f>SalesTable[[#This Row],[الكمية]]*SalesTable[[#This Row],[سعر الوحدة]]</f>
        <v>75000</v>
      </c>
      <c r="O704">
        <f>SalesTable[[#This Row],[الكمية]]*SalesTable[[#This Row],[سعر الوحدة]]*(1-SalesTable[[#This Row],[الخصم]])</f>
        <v>75000</v>
      </c>
    </row>
    <row r="705" spans="1:15" x14ac:dyDescent="0.3">
      <c r="A705">
        <v>10704</v>
      </c>
      <c r="B705" t="s">
        <v>21</v>
      </c>
      <c r="C705" s="3">
        <v>46081</v>
      </c>
      <c r="D705" t="s">
        <v>81</v>
      </c>
      <c r="E705" t="s">
        <v>41</v>
      </c>
      <c r="F705" t="s">
        <v>31</v>
      </c>
      <c r="G705" t="s">
        <v>54</v>
      </c>
      <c r="H705">
        <v>6</v>
      </c>
      <c r="I705">
        <v>2200</v>
      </c>
      <c r="J705">
        <v>0.03</v>
      </c>
      <c r="K705" t="s">
        <v>33</v>
      </c>
      <c r="L705" t="s">
        <v>26</v>
      </c>
      <c r="M705" t="s">
        <v>259</v>
      </c>
      <c r="N705">
        <f>SalesTable[[#This Row],[الكمية]]*SalesTable[[#This Row],[سعر الوحدة]]</f>
        <v>13200</v>
      </c>
      <c r="O705">
        <f>SalesTable[[#This Row],[الكمية]]*SalesTable[[#This Row],[سعر الوحدة]]*(1-SalesTable[[#This Row],[الخصم]])</f>
        <v>12804</v>
      </c>
    </row>
    <row r="706" spans="1:15" x14ac:dyDescent="0.3">
      <c r="A706">
        <v>10705</v>
      </c>
      <c r="B706" t="s">
        <v>36</v>
      </c>
      <c r="C706" s="3">
        <v>46164</v>
      </c>
      <c r="D706" t="s">
        <v>70</v>
      </c>
      <c r="E706" t="s">
        <v>46</v>
      </c>
      <c r="F706" t="s">
        <v>49</v>
      </c>
      <c r="G706" t="s">
        <v>98</v>
      </c>
      <c r="H706">
        <v>9</v>
      </c>
      <c r="I706">
        <v>1800</v>
      </c>
      <c r="J706">
        <v>0.15</v>
      </c>
      <c r="K706" t="s">
        <v>18</v>
      </c>
      <c r="L706" t="s">
        <v>19</v>
      </c>
      <c r="M706" t="s">
        <v>304</v>
      </c>
      <c r="N706">
        <f>SalesTable[[#This Row],[الكمية]]*SalesTable[[#This Row],[سعر الوحدة]]</f>
        <v>16200</v>
      </c>
      <c r="O706">
        <f>SalesTable[[#This Row],[الكمية]]*SalesTable[[#This Row],[سعر الوحدة]]*(1-SalesTable[[#This Row],[الخصم]])</f>
        <v>13770</v>
      </c>
    </row>
    <row r="707" spans="1:15" x14ac:dyDescent="0.3">
      <c r="A707">
        <v>10706</v>
      </c>
      <c r="B707" t="s">
        <v>44</v>
      </c>
      <c r="C707" s="3">
        <v>46263</v>
      </c>
      <c r="D707" t="s">
        <v>70</v>
      </c>
      <c r="E707" t="s">
        <v>46</v>
      </c>
      <c r="F707" t="s">
        <v>59</v>
      </c>
      <c r="G707" t="s">
        <v>105</v>
      </c>
      <c r="H707">
        <v>9</v>
      </c>
      <c r="I707">
        <v>1800</v>
      </c>
      <c r="J707">
        <v>0.1</v>
      </c>
      <c r="K707" t="s">
        <v>38</v>
      </c>
      <c r="L707" t="s">
        <v>47</v>
      </c>
      <c r="M707" t="s">
        <v>182</v>
      </c>
      <c r="N707">
        <f>SalesTable[[#This Row],[الكمية]]*SalesTable[[#This Row],[سعر الوحدة]]</f>
        <v>16200</v>
      </c>
      <c r="O707">
        <f>SalesTable[[#This Row],[الكمية]]*SalesTable[[#This Row],[سعر الوحدة]]*(1-SalesTable[[#This Row],[الخصم]])</f>
        <v>14580</v>
      </c>
    </row>
    <row r="708" spans="1:15" x14ac:dyDescent="0.3">
      <c r="A708">
        <v>10707</v>
      </c>
      <c r="B708" t="s">
        <v>44</v>
      </c>
      <c r="C708" s="3">
        <v>46223</v>
      </c>
      <c r="D708" t="s">
        <v>40</v>
      </c>
      <c r="E708" t="s">
        <v>41</v>
      </c>
      <c r="F708" t="s">
        <v>16</v>
      </c>
      <c r="G708" t="s">
        <v>96</v>
      </c>
      <c r="H708">
        <v>8</v>
      </c>
      <c r="I708">
        <v>150</v>
      </c>
      <c r="J708">
        <v>0</v>
      </c>
      <c r="K708" t="s">
        <v>55</v>
      </c>
      <c r="L708" t="s">
        <v>34</v>
      </c>
      <c r="M708" t="s">
        <v>211</v>
      </c>
      <c r="N708">
        <f>SalesTable[[#This Row],[الكمية]]*SalesTable[[#This Row],[سعر الوحدة]]</f>
        <v>1200</v>
      </c>
      <c r="O708">
        <f>SalesTable[[#This Row],[الكمية]]*SalesTable[[#This Row],[سعر الوحدة]]*(1-SalesTable[[#This Row],[الخصم]])</f>
        <v>1200</v>
      </c>
    </row>
    <row r="709" spans="1:15" x14ac:dyDescent="0.3">
      <c r="A709">
        <v>10708</v>
      </c>
      <c r="B709" t="s">
        <v>112</v>
      </c>
      <c r="C709" s="3">
        <v>46277</v>
      </c>
      <c r="D709" t="s">
        <v>104</v>
      </c>
      <c r="E709" t="s">
        <v>23</v>
      </c>
      <c r="F709" t="s">
        <v>64</v>
      </c>
      <c r="G709" t="s">
        <v>107</v>
      </c>
      <c r="H709">
        <v>2</v>
      </c>
      <c r="I709">
        <v>28000</v>
      </c>
      <c r="J709">
        <v>0.15</v>
      </c>
      <c r="K709" t="s">
        <v>55</v>
      </c>
      <c r="L709" t="s">
        <v>26</v>
      </c>
      <c r="M709" t="s">
        <v>312</v>
      </c>
      <c r="N709">
        <f>SalesTable[[#This Row],[الكمية]]*SalesTable[[#This Row],[سعر الوحدة]]</f>
        <v>56000</v>
      </c>
      <c r="O709">
        <f>SalesTable[[#This Row],[الكمية]]*SalesTable[[#This Row],[سعر الوحدة]]*(1-SalesTable[[#This Row],[الخصم]])</f>
        <v>47600</v>
      </c>
    </row>
    <row r="710" spans="1:15" x14ac:dyDescent="0.3">
      <c r="A710">
        <v>10709</v>
      </c>
      <c r="B710" t="s">
        <v>21</v>
      </c>
      <c r="C710" s="3">
        <v>46090</v>
      </c>
      <c r="D710" t="s">
        <v>14</v>
      </c>
      <c r="E710" t="s">
        <v>15</v>
      </c>
      <c r="F710" t="s">
        <v>24</v>
      </c>
      <c r="G710" t="s">
        <v>57</v>
      </c>
      <c r="H710">
        <v>7</v>
      </c>
      <c r="I710">
        <v>650</v>
      </c>
      <c r="J710">
        <v>0.15</v>
      </c>
      <c r="K710" t="s">
        <v>33</v>
      </c>
      <c r="L710" t="s">
        <v>34</v>
      </c>
      <c r="M710" t="s">
        <v>357</v>
      </c>
      <c r="N710">
        <f>SalesTable[[#This Row],[الكمية]]*SalesTable[[#This Row],[سعر الوحدة]]</f>
        <v>4550</v>
      </c>
      <c r="O710">
        <f>SalesTable[[#This Row],[الكمية]]*SalesTable[[#This Row],[سعر الوحدة]]*(1-SalesTable[[#This Row],[الخصم]])</f>
        <v>3867.5</v>
      </c>
    </row>
    <row r="711" spans="1:15" x14ac:dyDescent="0.3">
      <c r="A711">
        <v>10710</v>
      </c>
      <c r="B711" t="s">
        <v>28</v>
      </c>
      <c r="C711" s="3">
        <v>46141</v>
      </c>
      <c r="D711" t="s">
        <v>48</v>
      </c>
      <c r="E711" t="s">
        <v>30</v>
      </c>
      <c r="F711" t="s">
        <v>24</v>
      </c>
      <c r="G711" t="s">
        <v>57</v>
      </c>
      <c r="H711">
        <v>4</v>
      </c>
      <c r="I711">
        <v>9000</v>
      </c>
      <c r="J711">
        <v>0</v>
      </c>
      <c r="K711" t="s">
        <v>38</v>
      </c>
      <c r="L711" t="s">
        <v>47</v>
      </c>
      <c r="M711" t="s">
        <v>358</v>
      </c>
      <c r="N711">
        <f>SalesTable[[#This Row],[الكمية]]*SalesTable[[#This Row],[سعر الوحدة]]</f>
        <v>36000</v>
      </c>
      <c r="O711">
        <f>SalesTable[[#This Row],[الكمية]]*SalesTable[[#This Row],[سعر الوحدة]]*(1-SalesTable[[#This Row],[الخصم]])</f>
        <v>36000</v>
      </c>
    </row>
    <row r="712" spans="1:15" x14ac:dyDescent="0.3">
      <c r="A712">
        <v>10711</v>
      </c>
      <c r="B712" t="s">
        <v>21</v>
      </c>
      <c r="C712" s="3">
        <v>46303</v>
      </c>
      <c r="D712" t="s">
        <v>70</v>
      </c>
      <c r="E712" t="s">
        <v>46</v>
      </c>
      <c r="F712" t="s">
        <v>49</v>
      </c>
      <c r="G712" t="s">
        <v>98</v>
      </c>
      <c r="H712">
        <v>10</v>
      </c>
      <c r="I712">
        <v>1800</v>
      </c>
      <c r="J712">
        <v>0.15</v>
      </c>
      <c r="K712" t="s">
        <v>33</v>
      </c>
      <c r="L712" t="s">
        <v>47</v>
      </c>
      <c r="M712" t="s">
        <v>270</v>
      </c>
      <c r="N712">
        <f>SalesTable[[#This Row],[الكمية]]*SalesTable[[#This Row],[سعر الوحدة]]</f>
        <v>18000</v>
      </c>
      <c r="O712">
        <f>SalesTable[[#This Row],[الكمية]]*SalesTable[[#This Row],[سعر الوحدة]]*(1-SalesTable[[#This Row],[الخصم]])</f>
        <v>15300</v>
      </c>
    </row>
    <row r="713" spans="1:15" x14ac:dyDescent="0.3">
      <c r="A713">
        <v>10712</v>
      </c>
      <c r="B713" t="s">
        <v>13</v>
      </c>
      <c r="C713" s="3">
        <v>46270</v>
      </c>
      <c r="D713" t="s">
        <v>95</v>
      </c>
      <c r="E713" t="s">
        <v>15</v>
      </c>
      <c r="F713" t="s">
        <v>64</v>
      </c>
      <c r="G713" t="s">
        <v>107</v>
      </c>
      <c r="H713">
        <v>3</v>
      </c>
      <c r="I713">
        <v>5200</v>
      </c>
      <c r="J713">
        <v>0.05</v>
      </c>
      <c r="K713" t="s">
        <v>38</v>
      </c>
      <c r="L713" t="s">
        <v>34</v>
      </c>
      <c r="M713" t="s">
        <v>311</v>
      </c>
      <c r="N713">
        <f>SalesTable[[#This Row],[الكمية]]*SalesTable[[#This Row],[سعر الوحدة]]</f>
        <v>15600</v>
      </c>
      <c r="O713">
        <f>SalesTable[[#This Row],[الكمية]]*SalesTable[[#This Row],[سعر الوحدة]]*(1-SalesTable[[#This Row],[الخصم]])</f>
        <v>14820</v>
      </c>
    </row>
    <row r="714" spans="1:15" x14ac:dyDescent="0.3">
      <c r="A714">
        <v>10713</v>
      </c>
      <c r="B714" t="s">
        <v>94</v>
      </c>
      <c r="C714" s="3">
        <v>46105</v>
      </c>
      <c r="D714" t="s">
        <v>37</v>
      </c>
      <c r="E714" t="s">
        <v>23</v>
      </c>
      <c r="F714" t="s">
        <v>49</v>
      </c>
      <c r="G714" t="s">
        <v>98</v>
      </c>
      <c r="H714">
        <v>8</v>
      </c>
      <c r="I714">
        <v>32000</v>
      </c>
      <c r="J714">
        <v>0.03</v>
      </c>
      <c r="K714" t="s">
        <v>38</v>
      </c>
      <c r="L714" t="s">
        <v>26</v>
      </c>
      <c r="M714" t="s">
        <v>187</v>
      </c>
      <c r="N714">
        <f>SalesTable[[#This Row],[الكمية]]*SalesTable[[#This Row],[سعر الوحدة]]</f>
        <v>256000</v>
      </c>
      <c r="O714">
        <f>SalesTable[[#This Row],[الكمية]]*SalesTable[[#This Row],[سعر الوحدة]]*(1-SalesTable[[#This Row],[الخصم]])</f>
        <v>248320</v>
      </c>
    </row>
    <row r="715" spans="1:15" x14ac:dyDescent="0.3">
      <c r="A715">
        <v>10714</v>
      </c>
      <c r="B715" t="s">
        <v>28</v>
      </c>
      <c r="C715" s="3">
        <v>46185</v>
      </c>
      <c r="D715" t="s">
        <v>68</v>
      </c>
      <c r="E715" t="s">
        <v>46</v>
      </c>
      <c r="F715" t="s">
        <v>64</v>
      </c>
      <c r="G715" t="s">
        <v>184</v>
      </c>
      <c r="H715">
        <v>4</v>
      </c>
      <c r="I715">
        <v>1400</v>
      </c>
      <c r="J715">
        <v>0</v>
      </c>
      <c r="K715" t="s">
        <v>55</v>
      </c>
      <c r="L715" t="s">
        <v>47</v>
      </c>
      <c r="M715" t="s">
        <v>251</v>
      </c>
      <c r="N715">
        <f>SalesTable[[#This Row],[الكمية]]*SalesTable[[#This Row],[سعر الوحدة]]</f>
        <v>5600</v>
      </c>
      <c r="O715">
        <f>SalesTable[[#This Row],[الكمية]]*SalesTable[[#This Row],[سعر الوحدة]]*(1-SalesTable[[#This Row],[الخصم]])</f>
        <v>5600</v>
      </c>
    </row>
    <row r="716" spans="1:15" x14ac:dyDescent="0.3">
      <c r="A716">
        <v>10715</v>
      </c>
      <c r="B716" t="s">
        <v>28</v>
      </c>
      <c r="C716" s="3">
        <v>46363</v>
      </c>
      <c r="D716" t="s">
        <v>70</v>
      </c>
      <c r="E716" t="s">
        <v>46</v>
      </c>
      <c r="F716" t="s">
        <v>64</v>
      </c>
      <c r="G716" t="s">
        <v>184</v>
      </c>
      <c r="H716">
        <v>9</v>
      </c>
      <c r="I716">
        <v>1800</v>
      </c>
      <c r="J716">
        <v>0.15</v>
      </c>
      <c r="K716" t="s">
        <v>38</v>
      </c>
      <c r="L716" t="s">
        <v>34</v>
      </c>
      <c r="M716" t="s">
        <v>359</v>
      </c>
      <c r="N716">
        <f>SalesTable[[#This Row],[الكمية]]*SalesTable[[#This Row],[سعر الوحدة]]</f>
        <v>16200</v>
      </c>
      <c r="O716">
        <f>SalesTable[[#This Row],[الكمية]]*SalesTable[[#This Row],[سعر الوحدة]]*(1-SalesTable[[#This Row],[الخصم]])</f>
        <v>13770</v>
      </c>
    </row>
    <row r="717" spans="1:15" x14ac:dyDescent="0.3">
      <c r="A717">
        <v>10716</v>
      </c>
      <c r="B717" t="s">
        <v>52</v>
      </c>
      <c r="C717" s="3">
        <v>46085</v>
      </c>
      <c r="D717" t="s">
        <v>70</v>
      </c>
      <c r="E717" t="s">
        <v>46</v>
      </c>
      <c r="F717" t="s">
        <v>59</v>
      </c>
      <c r="G717" t="s">
        <v>75</v>
      </c>
      <c r="H717">
        <v>3</v>
      </c>
      <c r="I717">
        <v>1800</v>
      </c>
      <c r="J717">
        <v>0.1</v>
      </c>
      <c r="K717" t="s">
        <v>18</v>
      </c>
      <c r="L717" t="s">
        <v>47</v>
      </c>
      <c r="M717" t="s">
        <v>58</v>
      </c>
      <c r="N717">
        <f>SalesTable[[#This Row],[الكمية]]*SalesTable[[#This Row],[سعر الوحدة]]</f>
        <v>5400</v>
      </c>
      <c r="O717">
        <f>SalesTable[[#This Row],[الكمية]]*SalesTable[[#This Row],[سعر الوحدة]]*(1-SalesTable[[#This Row],[الخصم]])</f>
        <v>4860</v>
      </c>
    </row>
    <row r="718" spans="1:15" x14ac:dyDescent="0.3">
      <c r="A718">
        <v>10717</v>
      </c>
      <c r="B718" t="s">
        <v>28</v>
      </c>
      <c r="C718" s="3">
        <v>46302</v>
      </c>
      <c r="D718" t="s">
        <v>40</v>
      </c>
      <c r="E718" t="s">
        <v>41</v>
      </c>
      <c r="F718" t="s">
        <v>64</v>
      </c>
      <c r="G718" t="s">
        <v>65</v>
      </c>
      <c r="H718">
        <v>6</v>
      </c>
      <c r="I718">
        <v>150</v>
      </c>
      <c r="J718">
        <v>0.03</v>
      </c>
      <c r="K718" t="s">
        <v>38</v>
      </c>
      <c r="L718" t="s">
        <v>34</v>
      </c>
      <c r="M718" t="s">
        <v>306</v>
      </c>
      <c r="N718">
        <f>SalesTable[[#This Row],[الكمية]]*SalesTable[[#This Row],[سعر الوحدة]]</f>
        <v>900</v>
      </c>
      <c r="O718">
        <f>SalesTable[[#This Row],[الكمية]]*SalesTable[[#This Row],[سعر الوحدة]]*(1-SalesTable[[#This Row],[الخصم]])</f>
        <v>873</v>
      </c>
    </row>
    <row r="719" spans="1:15" x14ac:dyDescent="0.3">
      <c r="A719">
        <v>10718</v>
      </c>
      <c r="B719" t="s">
        <v>62</v>
      </c>
      <c r="C719" s="3">
        <v>46196</v>
      </c>
      <c r="D719" t="s">
        <v>90</v>
      </c>
      <c r="E719" t="s">
        <v>91</v>
      </c>
      <c r="F719" t="s">
        <v>87</v>
      </c>
      <c r="G719" t="s">
        <v>103</v>
      </c>
      <c r="H719">
        <v>3</v>
      </c>
      <c r="I719">
        <v>6500</v>
      </c>
      <c r="J719">
        <v>0.1</v>
      </c>
      <c r="K719" t="s">
        <v>18</v>
      </c>
      <c r="L719" t="s">
        <v>47</v>
      </c>
      <c r="M719" t="s">
        <v>178</v>
      </c>
      <c r="N719">
        <f>SalesTable[[#This Row],[الكمية]]*SalesTable[[#This Row],[سعر الوحدة]]</f>
        <v>19500</v>
      </c>
      <c r="O719">
        <f>SalesTable[[#This Row],[الكمية]]*SalesTable[[#This Row],[سعر الوحدة]]*(1-SalesTable[[#This Row],[الخصم]])</f>
        <v>17550</v>
      </c>
    </row>
    <row r="720" spans="1:15" x14ac:dyDescent="0.3">
      <c r="A720">
        <v>10719</v>
      </c>
      <c r="B720" t="s">
        <v>94</v>
      </c>
      <c r="C720" s="3">
        <v>46135</v>
      </c>
      <c r="D720" t="s">
        <v>37</v>
      </c>
      <c r="E720" t="s">
        <v>23</v>
      </c>
      <c r="F720" t="s">
        <v>16</v>
      </c>
      <c r="G720" t="s">
        <v>79</v>
      </c>
      <c r="H720">
        <v>1</v>
      </c>
      <c r="I720">
        <v>32000</v>
      </c>
      <c r="J720">
        <v>7.0000000000000007E-2</v>
      </c>
      <c r="K720" t="s">
        <v>33</v>
      </c>
      <c r="L720" t="s">
        <v>34</v>
      </c>
      <c r="M720" t="s">
        <v>193</v>
      </c>
      <c r="N720">
        <f>SalesTable[[#This Row],[الكمية]]*SalesTable[[#This Row],[سعر الوحدة]]</f>
        <v>32000</v>
      </c>
      <c r="O720">
        <f>SalesTable[[#This Row],[الكمية]]*SalesTable[[#This Row],[سعر الوحدة]]*(1-SalesTable[[#This Row],[الخصم]])</f>
        <v>29759.999999999996</v>
      </c>
    </row>
    <row r="721" spans="1:15" x14ac:dyDescent="0.3">
      <c r="A721">
        <v>10720</v>
      </c>
      <c r="B721" t="s">
        <v>13</v>
      </c>
      <c r="C721" s="3">
        <v>46165</v>
      </c>
      <c r="D721" t="s">
        <v>70</v>
      </c>
      <c r="E721" t="s">
        <v>46</v>
      </c>
      <c r="F721" t="s">
        <v>24</v>
      </c>
      <c r="G721" t="s">
        <v>73</v>
      </c>
      <c r="H721">
        <v>10</v>
      </c>
      <c r="I721">
        <v>1800</v>
      </c>
      <c r="J721">
        <v>0.1</v>
      </c>
      <c r="K721" t="s">
        <v>55</v>
      </c>
      <c r="L721" t="s">
        <v>19</v>
      </c>
      <c r="M721" t="s">
        <v>214</v>
      </c>
      <c r="N721">
        <f>SalesTable[[#This Row],[الكمية]]*SalesTable[[#This Row],[سعر الوحدة]]</f>
        <v>18000</v>
      </c>
      <c r="O721">
        <f>SalesTable[[#This Row],[الكمية]]*SalesTable[[#This Row],[سعر الوحدة]]*(1-SalesTable[[#This Row],[الخصم]])</f>
        <v>16200</v>
      </c>
    </row>
    <row r="722" spans="1:15" x14ac:dyDescent="0.3">
      <c r="A722">
        <v>10721</v>
      </c>
      <c r="B722" t="s">
        <v>36</v>
      </c>
      <c r="C722" s="3">
        <v>46122</v>
      </c>
      <c r="D722" t="s">
        <v>53</v>
      </c>
      <c r="E722" t="s">
        <v>15</v>
      </c>
      <c r="F722" t="s">
        <v>59</v>
      </c>
      <c r="G722" t="s">
        <v>75</v>
      </c>
      <c r="H722">
        <v>2</v>
      </c>
      <c r="I722">
        <v>3200</v>
      </c>
      <c r="J722">
        <v>0.1</v>
      </c>
      <c r="K722" t="s">
        <v>33</v>
      </c>
      <c r="L722" t="s">
        <v>34</v>
      </c>
      <c r="M722" t="s">
        <v>316</v>
      </c>
      <c r="N722">
        <f>SalesTable[[#This Row],[الكمية]]*SalesTable[[#This Row],[سعر الوحدة]]</f>
        <v>6400</v>
      </c>
      <c r="O722">
        <f>SalesTable[[#This Row],[الكمية]]*SalesTable[[#This Row],[سعر الوحدة]]*(1-SalesTable[[#This Row],[الخصم]])</f>
        <v>5760</v>
      </c>
    </row>
    <row r="723" spans="1:15" x14ac:dyDescent="0.3">
      <c r="A723">
        <v>10722</v>
      </c>
      <c r="B723" t="s">
        <v>36</v>
      </c>
      <c r="C723" s="3">
        <v>46212</v>
      </c>
      <c r="D723" t="s">
        <v>22</v>
      </c>
      <c r="E723" t="s">
        <v>23</v>
      </c>
      <c r="F723" t="s">
        <v>49</v>
      </c>
      <c r="G723" t="s">
        <v>98</v>
      </c>
      <c r="H723">
        <v>3</v>
      </c>
      <c r="I723">
        <v>25000</v>
      </c>
      <c r="J723">
        <v>0.15</v>
      </c>
      <c r="K723" t="s">
        <v>33</v>
      </c>
      <c r="L723" t="s">
        <v>34</v>
      </c>
      <c r="M723" t="s">
        <v>265</v>
      </c>
      <c r="N723">
        <f>SalesTable[[#This Row],[الكمية]]*SalesTable[[#This Row],[سعر الوحدة]]</f>
        <v>75000</v>
      </c>
      <c r="O723">
        <f>SalesTable[[#This Row],[الكمية]]*SalesTable[[#This Row],[سعر الوحدة]]*(1-SalesTable[[#This Row],[الخصم]])</f>
        <v>63750</v>
      </c>
    </row>
    <row r="724" spans="1:15" x14ac:dyDescent="0.3">
      <c r="A724">
        <v>10723</v>
      </c>
      <c r="B724" t="s">
        <v>21</v>
      </c>
      <c r="C724" s="3">
        <v>46067</v>
      </c>
      <c r="D724" t="s">
        <v>110</v>
      </c>
      <c r="E724" t="s">
        <v>46</v>
      </c>
      <c r="F724" t="s">
        <v>49</v>
      </c>
      <c r="G724" t="s">
        <v>98</v>
      </c>
      <c r="H724">
        <v>5</v>
      </c>
      <c r="I724">
        <v>450</v>
      </c>
      <c r="J724">
        <v>7.0000000000000007E-2</v>
      </c>
      <c r="K724" t="s">
        <v>55</v>
      </c>
      <c r="L724" t="s">
        <v>47</v>
      </c>
      <c r="M724" t="s">
        <v>179</v>
      </c>
      <c r="N724">
        <f>SalesTable[[#This Row],[الكمية]]*SalesTable[[#This Row],[سعر الوحدة]]</f>
        <v>2250</v>
      </c>
      <c r="O724">
        <f>SalesTable[[#This Row],[الكمية]]*SalesTable[[#This Row],[سعر الوحدة]]*(1-SalesTable[[#This Row],[الخصم]])</f>
        <v>2092.5</v>
      </c>
    </row>
    <row r="725" spans="1:15" x14ac:dyDescent="0.3">
      <c r="A725">
        <v>10724</v>
      </c>
      <c r="B725" t="s">
        <v>36</v>
      </c>
      <c r="C725" s="3">
        <v>46235</v>
      </c>
      <c r="D725" t="s">
        <v>40</v>
      </c>
      <c r="E725" t="s">
        <v>41</v>
      </c>
      <c r="F725" t="s">
        <v>59</v>
      </c>
      <c r="G725" t="s">
        <v>105</v>
      </c>
      <c r="H725">
        <v>3</v>
      </c>
      <c r="I725">
        <v>150</v>
      </c>
      <c r="J725">
        <v>0.15</v>
      </c>
      <c r="K725" t="s">
        <v>55</v>
      </c>
      <c r="L725" t="s">
        <v>19</v>
      </c>
      <c r="M725" t="s">
        <v>225</v>
      </c>
      <c r="N725">
        <f>SalesTable[[#This Row],[الكمية]]*SalesTable[[#This Row],[سعر الوحدة]]</f>
        <v>450</v>
      </c>
      <c r="O725">
        <f>SalesTable[[#This Row],[الكمية]]*SalesTable[[#This Row],[سعر الوحدة]]*(1-SalesTable[[#This Row],[الخصم]])</f>
        <v>382.5</v>
      </c>
    </row>
    <row r="726" spans="1:15" x14ac:dyDescent="0.3">
      <c r="A726">
        <v>10725</v>
      </c>
      <c r="B726" t="s">
        <v>44</v>
      </c>
      <c r="C726" s="3">
        <v>46325</v>
      </c>
      <c r="D726" t="s">
        <v>45</v>
      </c>
      <c r="E726" t="s">
        <v>46</v>
      </c>
      <c r="F726" t="s">
        <v>87</v>
      </c>
      <c r="G726" t="s">
        <v>88</v>
      </c>
      <c r="H726">
        <v>9</v>
      </c>
      <c r="I726">
        <v>1200</v>
      </c>
      <c r="J726">
        <v>0.05</v>
      </c>
      <c r="K726" t="s">
        <v>33</v>
      </c>
      <c r="L726" t="s">
        <v>19</v>
      </c>
      <c r="M726" t="s">
        <v>242</v>
      </c>
      <c r="N726">
        <f>SalesTable[[#This Row],[الكمية]]*SalesTable[[#This Row],[سعر الوحدة]]</f>
        <v>10800</v>
      </c>
      <c r="O726">
        <f>SalesTable[[#This Row],[الكمية]]*SalesTable[[#This Row],[سعر الوحدة]]*(1-SalesTable[[#This Row],[الخصم]])</f>
        <v>10260</v>
      </c>
    </row>
    <row r="727" spans="1:15" x14ac:dyDescent="0.3">
      <c r="A727">
        <v>10726</v>
      </c>
      <c r="B727" t="s">
        <v>62</v>
      </c>
      <c r="C727" s="3">
        <v>46386</v>
      </c>
      <c r="D727" t="s">
        <v>29</v>
      </c>
      <c r="E727" t="s">
        <v>30</v>
      </c>
      <c r="F727" t="s">
        <v>87</v>
      </c>
      <c r="G727" t="s">
        <v>88</v>
      </c>
      <c r="H727">
        <v>3</v>
      </c>
      <c r="I727">
        <v>7500</v>
      </c>
      <c r="J727">
        <v>0.1</v>
      </c>
      <c r="K727" t="s">
        <v>55</v>
      </c>
      <c r="L727" t="s">
        <v>26</v>
      </c>
      <c r="M727" t="s">
        <v>263</v>
      </c>
      <c r="N727">
        <f>SalesTable[[#This Row],[الكمية]]*SalesTable[[#This Row],[سعر الوحدة]]</f>
        <v>22500</v>
      </c>
      <c r="O727">
        <f>SalesTable[[#This Row],[الكمية]]*SalesTable[[#This Row],[سعر الوحدة]]*(1-SalesTable[[#This Row],[الخصم]])</f>
        <v>20250</v>
      </c>
    </row>
    <row r="728" spans="1:15" x14ac:dyDescent="0.3">
      <c r="A728">
        <v>10727</v>
      </c>
      <c r="B728" t="s">
        <v>28</v>
      </c>
      <c r="C728" s="3">
        <v>46177</v>
      </c>
      <c r="D728" t="s">
        <v>68</v>
      </c>
      <c r="E728" t="s">
        <v>46</v>
      </c>
      <c r="F728" t="s">
        <v>84</v>
      </c>
      <c r="G728" t="s">
        <v>85</v>
      </c>
      <c r="H728">
        <v>9</v>
      </c>
      <c r="I728">
        <v>1400</v>
      </c>
      <c r="J728">
        <v>7.0000000000000007E-2</v>
      </c>
      <c r="K728" t="s">
        <v>38</v>
      </c>
      <c r="L728" t="s">
        <v>47</v>
      </c>
      <c r="M728" t="s">
        <v>111</v>
      </c>
      <c r="N728">
        <f>SalesTable[[#This Row],[الكمية]]*SalesTable[[#This Row],[سعر الوحدة]]</f>
        <v>12600</v>
      </c>
      <c r="O728">
        <f>SalesTable[[#This Row],[الكمية]]*SalesTable[[#This Row],[سعر الوحدة]]*(1-SalesTable[[#This Row],[الخصم]])</f>
        <v>11718</v>
      </c>
    </row>
    <row r="729" spans="1:15" x14ac:dyDescent="0.3">
      <c r="A729">
        <v>10728</v>
      </c>
      <c r="B729" t="s">
        <v>112</v>
      </c>
      <c r="C729" s="3">
        <v>46157</v>
      </c>
      <c r="D729" t="s">
        <v>81</v>
      </c>
      <c r="E729" t="s">
        <v>41</v>
      </c>
      <c r="F729" t="s">
        <v>59</v>
      </c>
      <c r="G729" t="s">
        <v>60</v>
      </c>
      <c r="H729">
        <v>1</v>
      </c>
      <c r="I729">
        <v>2200</v>
      </c>
      <c r="J729">
        <v>0</v>
      </c>
      <c r="K729" t="s">
        <v>38</v>
      </c>
      <c r="L729" t="s">
        <v>47</v>
      </c>
      <c r="M729" t="s">
        <v>156</v>
      </c>
      <c r="N729">
        <f>SalesTable[[#This Row],[الكمية]]*SalesTable[[#This Row],[سعر الوحدة]]</f>
        <v>2200</v>
      </c>
      <c r="O729">
        <f>SalesTable[[#This Row],[الكمية]]*SalesTable[[#This Row],[سعر الوحدة]]*(1-SalesTable[[#This Row],[الخصم]])</f>
        <v>2200</v>
      </c>
    </row>
    <row r="730" spans="1:15" x14ac:dyDescent="0.3">
      <c r="A730">
        <v>10729</v>
      </c>
      <c r="B730" t="s">
        <v>13</v>
      </c>
      <c r="C730" s="3">
        <v>46037</v>
      </c>
      <c r="D730" t="s">
        <v>14</v>
      </c>
      <c r="E730" t="s">
        <v>15</v>
      </c>
      <c r="F730" t="s">
        <v>87</v>
      </c>
      <c r="G730" t="s">
        <v>88</v>
      </c>
      <c r="H730">
        <v>3</v>
      </c>
      <c r="I730">
        <v>650</v>
      </c>
      <c r="J730">
        <v>7.0000000000000007E-2</v>
      </c>
      <c r="K730" t="s">
        <v>18</v>
      </c>
      <c r="L730" t="s">
        <v>34</v>
      </c>
      <c r="M730" t="s">
        <v>284</v>
      </c>
      <c r="N730">
        <f>SalesTable[[#This Row],[الكمية]]*SalesTable[[#This Row],[سعر الوحدة]]</f>
        <v>1950</v>
      </c>
      <c r="O730">
        <f>SalesTable[[#This Row],[الكمية]]*SalesTable[[#This Row],[سعر الوحدة]]*(1-SalesTable[[#This Row],[الخصم]])</f>
        <v>1813.4999999999998</v>
      </c>
    </row>
    <row r="731" spans="1:15" x14ac:dyDescent="0.3">
      <c r="A731">
        <v>10730</v>
      </c>
      <c r="B731" t="s">
        <v>36</v>
      </c>
      <c r="C731" s="3">
        <v>46155</v>
      </c>
      <c r="D731" t="s">
        <v>104</v>
      </c>
      <c r="E731" t="s">
        <v>23</v>
      </c>
      <c r="F731" t="s">
        <v>49</v>
      </c>
      <c r="G731" t="s">
        <v>122</v>
      </c>
      <c r="H731">
        <v>8</v>
      </c>
      <c r="I731">
        <v>28000</v>
      </c>
      <c r="J731">
        <v>0.1</v>
      </c>
      <c r="K731" t="s">
        <v>33</v>
      </c>
      <c r="L731" t="s">
        <v>19</v>
      </c>
      <c r="M731" t="s">
        <v>271</v>
      </c>
      <c r="N731">
        <f>SalesTable[[#This Row],[الكمية]]*SalesTable[[#This Row],[سعر الوحدة]]</f>
        <v>224000</v>
      </c>
      <c r="O731">
        <f>SalesTable[[#This Row],[الكمية]]*SalesTable[[#This Row],[سعر الوحدة]]*(1-SalesTable[[#This Row],[الخصم]])</f>
        <v>201600</v>
      </c>
    </row>
    <row r="732" spans="1:15" x14ac:dyDescent="0.3">
      <c r="A732">
        <v>10731</v>
      </c>
      <c r="B732" t="s">
        <v>28</v>
      </c>
      <c r="C732" s="3">
        <v>46097</v>
      </c>
      <c r="D732" t="s">
        <v>53</v>
      </c>
      <c r="E732" t="s">
        <v>15</v>
      </c>
      <c r="F732" t="s">
        <v>24</v>
      </c>
      <c r="G732" t="s">
        <v>57</v>
      </c>
      <c r="H732">
        <v>3</v>
      </c>
      <c r="I732">
        <v>3200</v>
      </c>
      <c r="J732">
        <v>0.1</v>
      </c>
      <c r="K732" t="s">
        <v>38</v>
      </c>
      <c r="L732" t="s">
        <v>47</v>
      </c>
      <c r="M732" t="s">
        <v>222</v>
      </c>
      <c r="N732">
        <f>SalesTable[[#This Row],[الكمية]]*SalesTable[[#This Row],[سعر الوحدة]]</f>
        <v>9600</v>
      </c>
      <c r="O732">
        <f>SalesTable[[#This Row],[الكمية]]*SalesTable[[#This Row],[سعر الوحدة]]*(1-SalesTable[[#This Row],[الخصم]])</f>
        <v>8640</v>
      </c>
    </row>
    <row r="733" spans="1:15" x14ac:dyDescent="0.3">
      <c r="A733">
        <v>10732</v>
      </c>
      <c r="B733" t="s">
        <v>36</v>
      </c>
      <c r="C733" s="3">
        <v>46348</v>
      </c>
      <c r="D733" t="s">
        <v>70</v>
      </c>
      <c r="E733" t="s">
        <v>46</v>
      </c>
      <c r="F733" t="s">
        <v>64</v>
      </c>
      <c r="G733" t="s">
        <v>71</v>
      </c>
      <c r="H733">
        <v>5</v>
      </c>
      <c r="I733">
        <v>1800</v>
      </c>
      <c r="J733">
        <v>0.05</v>
      </c>
      <c r="K733" t="s">
        <v>38</v>
      </c>
      <c r="L733" t="s">
        <v>19</v>
      </c>
      <c r="M733" t="s">
        <v>201</v>
      </c>
      <c r="N733">
        <f>SalesTable[[#This Row],[الكمية]]*SalesTable[[#This Row],[سعر الوحدة]]</f>
        <v>9000</v>
      </c>
      <c r="O733">
        <f>SalesTable[[#This Row],[الكمية]]*SalesTable[[#This Row],[سعر الوحدة]]*(1-SalesTable[[#This Row],[الخصم]])</f>
        <v>8550</v>
      </c>
    </row>
    <row r="734" spans="1:15" x14ac:dyDescent="0.3">
      <c r="A734">
        <v>10733</v>
      </c>
      <c r="B734" t="s">
        <v>94</v>
      </c>
      <c r="C734" s="3">
        <v>46108</v>
      </c>
      <c r="D734" t="s">
        <v>110</v>
      </c>
      <c r="E734" t="s">
        <v>46</v>
      </c>
      <c r="F734" t="s">
        <v>16</v>
      </c>
      <c r="G734" t="s">
        <v>96</v>
      </c>
      <c r="H734">
        <v>3</v>
      </c>
      <c r="I734">
        <v>450</v>
      </c>
      <c r="J734">
        <v>0</v>
      </c>
      <c r="K734" t="s">
        <v>38</v>
      </c>
      <c r="L734" t="s">
        <v>34</v>
      </c>
      <c r="M734" t="s">
        <v>283</v>
      </c>
      <c r="N734">
        <f>SalesTable[[#This Row],[الكمية]]*SalesTable[[#This Row],[سعر الوحدة]]</f>
        <v>1350</v>
      </c>
      <c r="O734">
        <f>SalesTable[[#This Row],[الكمية]]*SalesTable[[#This Row],[سعر الوحدة]]*(1-SalesTable[[#This Row],[الخصم]])</f>
        <v>1350</v>
      </c>
    </row>
    <row r="735" spans="1:15" x14ac:dyDescent="0.3">
      <c r="A735">
        <v>10734</v>
      </c>
      <c r="B735" t="s">
        <v>67</v>
      </c>
      <c r="C735" s="3">
        <v>46096</v>
      </c>
      <c r="D735" t="s">
        <v>110</v>
      </c>
      <c r="E735" t="s">
        <v>46</v>
      </c>
      <c r="F735" t="s">
        <v>49</v>
      </c>
      <c r="G735" t="s">
        <v>50</v>
      </c>
      <c r="H735">
        <v>9</v>
      </c>
      <c r="I735">
        <v>450</v>
      </c>
      <c r="J735">
        <v>0.1</v>
      </c>
      <c r="K735" t="s">
        <v>18</v>
      </c>
      <c r="L735" t="s">
        <v>26</v>
      </c>
      <c r="M735" t="s">
        <v>226</v>
      </c>
      <c r="N735">
        <f>SalesTable[[#This Row],[الكمية]]*SalesTable[[#This Row],[سعر الوحدة]]</f>
        <v>4050</v>
      </c>
      <c r="O735">
        <f>SalesTable[[#This Row],[الكمية]]*SalesTable[[#This Row],[سعر الوحدة]]*(1-SalesTable[[#This Row],[الخصم]])</f>
        <v>3645</v>
      </c>
    </row>
    <row r="736" spans="1:15" x14ac:dyDescent="0.3">
      <c r="A736">
        <v>10735</v>
      </c>
      <c r="B736" t="s">
        <v>112</v>
      </c>
      <c r="C736" s="3">
        <v>46075</v>
      </c>
      <c r="D736" t="s">
        <v>110</v>
      </c>
      <c r="E736" t="s">
        <v>46</v>
      </c>
      <c r="F736" t="s">
        <v>49</v>
      </c>
      <c r="G736" t="s">
        <v>98</v>
      </c>
      <c r="H736">
        <v>7</v>
      </c>
      <c r="I736">
        <v>450</v>
      </c>
      <c r="J736">
        <v>0.05</v>
      </c>
      <c r="K736" t="s">
        <v>55</v>
      </c>
      <c r="L736" t="s">
        <v>26</v>
      </c>
      <c r="M736" t="s">
        <v>257</v>
      </c>
      <c r="N736">
        <f>SalesTable[[#This Row],[الكمية]]*SalesTable[[#This Row],[سعر الوحدة]]</f>
        <v>3150</v>
      </c>
      <c r="O736">
        <f>SalesTable[[#This Row],[الكمية]]*SalesTable[[#This Row],[سعر الوحدة]]*(1-SalesTable[[#This Row],[الخصم]])</f>
        <v>2992.5</v>
      </c>
    </row>
    <row r="737" spans="1:15" x14ac:dyDescent="0.3">
      <c r="A737">
        <v>10736</v>
      </c>
      <c r="B737" t="s">
        <v>21</v>
      </c>
      <c r="C737" s="3">
        <v>46295</v>
      </c>
      <c r="D737" t="s">
        <v>45</v>
      </c>
      <c r="E737" t="s">
        <v>46</v>
      </c>
      <c r="F737" t="s">
        <v>31</v>
      </c>
      <c r="G737" t="s">
        <v>77</v>
      </c>
      <c r="H737">
        <v>10</v>
      </c>
      <c r="I737">
        <v>1200</v>
      </c>
      <c r="J737">
        <v>0.15</v>
      </c>
      <c r="K737" t="s">
        <v>18</v>
      </c>
      <c r="L737" t="s">
        <v>47</v>
      </c>
      <c r="M737" t="s">
        <v>355</v>
      </c>
      <c r="N737">
        <f>SalesTable[[#This Row],[الكمية]]*SalesTable[[#This Row],[سعر الوحدة]]</f>
        <v>12000</v>
      </c>
      <c r="O737">
        <f>SalesTable[[#This Row],[الكمية]]*SalesTable[[#This Row],[سعر الوحدة]]*(1-SalesTable[[#This Row],[الخصم]])</f>
        <v>10200</v>
      </c>
    </row>
    <row r="738" spans="1:15" x14ac:dyDescent="0.3">
      <c r="A738">
        <v>10737</v>
      </c>
      <c r="B738" t="s">
        <v>62</v>
      </c>
      <c r="C738" s="3">
        <v>46201</v>
      </c>
      <c r="D738" t="s">
        <v>90</v>
      </c>
      <c r="E738" t="s">
        <v>91</v>
      </c>
      <c r="F738" t="s">
        <v>16</v>
      </c>
      <c r="G738" t="s">
        <v>17</v>
      </c>
      <c r="H738">
        <v>3</v>
      </c>
      <c r="I738">
        <v>6500</v>
      </c>
      <c r="J738">
        <v>0</v>
      </c>
      <c r="K738" t="s">
        <v>38</v>
      </c>
      <c r="L738" t="s">
        <v>34</v>
      </c>
      <c r="M738" t="s">
        <v>278</v>
      </c>
      <c r="N738">
        <f>SalesTable[[#This Row],[الكمية]]*SalesTable[[#This Row],[سعر الوحدة]]</f>
        <v>19500</v>
      </c>
      <c r="O738">
        <f>SalesTable[[#This Row],[الكمية]]*SalesTable[[#This Row],[سعر الوحدة]]*(1-SalesTable[[#This Row],[الخصم]])</f>
        <v>19500</v>
      </c>
    </row>
    <row r="739" spans="1:15" x14ac:dyDescent="0.3">
      <c r="A739">
        <v>10738</v>
      </c>
      <c r="B739" t="s">
        <v>112</v>
      </c>
      <c r="C739" s="3">
        <v>46386</v>
      </c>
      <c r="D739" t="s">
        <v>68</v>
      </c>
      <c r="E739" t="s">
        <v>46</v>
      </c>
      <c r="F739" t="s">
        <v>59</v>
      </c>
      <c r="G739" t="s">
        <v>75</v>
      </c>
      <c r="H739">
        <v>9</v>
      </c>
      <c r="I739">
        <v>1400</v>
      </c>
      <c r="J739">
        <v>0.05</v>
      </c>
      <c r="K739" t="s">
        <v>38</v>
      </c>
      <c r="L739" t="s">
        <v>19</v>
      </c>
      <c r="M739" t="s">
        <v>151</v>
      </c>
      <c r="N739">
        <f>SalesTable[[#This Row],[الكمية]]*SalesTable[[#This Row],[سعر الوحدة]]</f>
        <v>12600</v>
      </c>
      <c r="O739">
        <f>SalesTable[[#This Row],[الكمية]]*SalesTable[[#This Row],[سعر الوحدة]]*(1-SalesTable[[#This Row],[الخصم]])</f>
        <v>11970</v>
      </c>
    </row>
    <row r="740" spans="1:15" x14ac:dyDescent="0.3">
      <c r="A740">
        <v>10739</v>
      </c>
      <c r="B740" t="s">
        <v>112</v>
      </c>
      <c r="C740" s="3">
        <v>46130</v>
      </c>
      <c r="D740" t="s">
        <v>45</v>
      </c>
      <c r="E740" t="s">
        <v>46</v>
      </c>
      <c r="F740" t="s">
        <v>64</v>
      </c>
      <c r="G740" t="s">
        <v>184</v>
      </c>
      <c r="H740">
        <v>4</v>
      </c>
      <c r="I740">
        <v>1200</v>
      </c>
      <c r="J740">
        <v>0.05</v>
      </c>
      <c r="K740" t="s">
        <v>55</v>
      </c>
      <c r="L740" t="s">
        <v>19</v>
      </c>
      <c r="M740" t="s">
        <v>336</v>
      </c>
      <c r="N740">
        <f>SalesTable[[#This Row],[الكمية]]*SalesTable[[#This Row],[سعر الوحدة]]</f>
        <v>4800</v>
      </c>
      <c r="O740">
        <f>SalesTable[[#This Row],[الكمية]]*SalesTable[[#This Row],[سعر الوحدة]]*(1-SalesTable[[#This Row],[الخصم]])</f>
        <v>4560</v>
      </c>
    </row>
    <row r="741" spans="1:15" x14ac:dyDescent="0.3">
      <c r="A741">
        <v>10740</v>
      </c>
      <c r="B741" t="s">
        <v>36</v>
      </c>
      <c r="C741" s="3">
        <v>46044</v>
      </c>
      <c r="D741" t="s">
        <v>81</v>
      </c>
      <c r="E741" t="s">
        <v>41</v>
      </c>
      <c r="F741" t="s">
        <v>16</v>
      </c>
      <c r="G741" t="s">
        <v>17</v>
      </c>
      <c r="H741">
        <v>1</v>
      </c>
      <c r="I741">
        <v>2200</v>
      </c>
      <c r="J741">
        <v>7.0000000000000007E-2</v>
      </c>
      <c r="K741" t="s">
        <v>55</v>
      </c>
      <c r="L741" t="s">
        <v>19</v>
      </c>
      <c r="M741" t="s">
        <v>360</v>
      </c>
      <c r="N741">
        <f>SalesTable[[#This Row],[الكمية]]*SalesTable[[#This Row],[سعر الوحدة]]</f>
        <v>2200</v>
      </c>
      <c r="O741">
        <f>SalesTable[[#This Row],[الكمية]]*SalesTable[[#This Row],[سعر الوحدة]]*(1-SalesTable[[#This Row],[الخصم]])</f>
        <v>2045.9999999999998</v>
      </c>
    </row>
    <row r="742" spans="1:15" x14ac:dyDescent="0.3">
      <c r="A742">
        <v>10741</v>
      </c>
      <c r="B742" t="s">
        <v>28</v>
      </c>
      <c r="C742" s="3">
        <v>46056</v>
      </c>
      <c r="D742" t="s">
        <v>40</v>
      </c>
      <c r="E742" t="s">
        <v>41</v>
      </c>
      <c r="F742" t="s">
        <v>24</v>
      </c>
      <c r="G742" t="s">
        <v>42</v>
      </c>
      <c r="H742">
        <v>2</v>
      </c>
      <c r="I742">
        <v>150</v>
      </c>
      <c r="J742">
        <v>0.05</v>
      </c>
      <c r="K742" t="s">
        <v>38</v>
      </c>
      <c r="L742" t="s">
        <v>19</v>
      </c>
      <c r="M742" t="s">
        <v>310</v>
      </c>
      <c r="N742">
        <f>SalesTable[[#This Row],[الكمية]]*SalesTable[[#This Row],[سعر الوحدة]]</f>
        <v>300</v>
      </c>
      <c r="O742">
        <f>SalesTable[[#This Row],[الكمية]]*SalesTable[[#This Row],[سعر الوحدة]]*(1-SalesTable[[#This Row],[الخصم]])</f>
        <v>285</v>
      </c>
    </row>
    <row r="743" spans="1:15" x14ac:dyDescent="0.3">
      <c r="A743">
        <v>10742</v>
      </c>
      <c r="B743" t="s">
        <v>112</v>
      </c>
      <c r="C743" s="3">
        <v>46366</v>
      </c>
      <c r="D743" t="s">
        <v>40</v>
      </c>
      <c r="E743" t="s">
        <v>41</v>
      </c>
      <c r="F743" t="s">
        <v>16</v>
      </c>
      <c r="G743" t="s">
        <v>96</v>
      </c>
      <c r="H743">
        <v>10</v>
      </c>
      <c r="I743">
        <v>150</v>
      </c>
      <c r="J743">
        <v>0.03</v>
      </c>
      <c r="K743" t="s">
        <v>38</v>
      </c>
      <c r="L743" t="s">
        <v>19</v>
      </c>
      <c r="M743" t="s">
        <v>207</v>
      </c>
      <c r="N743">
        <f>SalesTable[[#This Row],[الكمية]]*SalesTable[[#This Row],[سعر الوحدة]]</f>
        <v>1500</v>
      </c>
      <c r="O743">
        <f>SalesTable[[#This Row],[الكمية]]*SalesTable[[#This Row],[سعر الوحدة]]*(1-SalesTable[[#This Row],[الخصم]])</f>
        <v>1455</v>
      </c>
    </row>
    <row r="744" spans="1:15" x14ac:dyDescent="0.3">
      <c r="A744">
        <v>10743</v>
      </c>
      <c r="B744" t="s">
        <v>112</v>
      </c>
      <c r="C744" s="3">
        <v>46279</v>
      </c>
      <c r="D744" t="s">
        <v>37</v>
      </c>
      <c r="E744" t="s">
        <v>23</v>
      </c>
      <c r="F744" t="s">
        <v>87</v>
      </c>
      <c r="G744" t="s">
        <v>103</v>
      </c>
      <c r="H744">
        <v>6</v>
      </c>
      <c r="I744">
        <v>32000</v>
      </c>
      <c r="J744">
        <v>0.05</v>
      </c>
      <c r="K744" t="s">
        <v>55</v>
      </c>
      <c r="L744" t="s">
        <v>19</v>
      </c>
      <c r="M744" t="s">
        <v>183</v>
      </c>
      <c r="N744">
        <f>SalesTable[[#This Row],[الكمية]]*SalesTable[[#This Row],[سعر الوحدة]]</f>
        <v>192000</v>
      </c>
      <c r="O744">
        <f>SalesTable[[#This Row],[الكمية]]*SalesTable[[#This Row],[سعر الوحدة]]*(1-SalesTable[[#This Row],[الخصم]])</f>
        <v>182400</v>
      </c>
    </row>
    <row r="745" spans="1:15" x14ac:dyDescent="0.3">
      <c r="A745">
        <v>10744</v>
      </c>
      <c r="B745" t="s">
        <v>112</v>
      </c>
      <c r="C745" s="3">
        <v>46298</v>
      </c>
      <c r="D745" t="s">
        <v>68</v>
      </c>
      <c r="E745" t="s">
        <v>46</v>
      </c>
      <c r="F745" t="s">
        <v>24</v>
      </c>
      <c r="G745" t="s">
        <v>73</v>
      </c>
      <c r="H745">
        <v>4</v>
      </c>
      <c r="I745">
        <v>1400</v>
      </c>
      <c r="J745">
        <v>0.05</v>
      </c>
      <c r="K745" t="s">
        <v>18</v>
      </c>
      <c r="L745" t="s">
        <v>19</v>
      </c>
      <c r="M745" t="s">
        <v>239</v>
      </c>
      <c r="N745">
        <f>SalesTable[[#This Row],[الكمية]]*SalesTable[[#This Row],[سعر الوحدة]]</f>
        <v>5600</v>
      </c>
      <c r="O745">
        <f>SalesTable[[#This Row],[الكمية]]*SalesTable[[#This Row],[سعر الوحدة]]*(1-SalesTable[[#This Row],[الخصم]])</f>
        <v>5320</v>
      </c>
    </row>
    <row r="746" spans="1:15" x14ac:dyDescent="0.3">
      <c r="A746">
        <v>10745</v>
      </c>
      <c r="B746" t="s">
        <v>62</v>
      </c>
      <c r="C746" s="3">
        <v>46367</v>
      </c>
      <c r="D746" t="s">
        <v>90</v>
      </c>
      <c r="E746" t="s">
        <v>91</v>
      </c>
      <c r="F746" t="s">
        <v>59</v>
      </c>
      <c r="G746" t="s">
        <v>105</v>
      </c>
      <c r="H746">
        <v>10</v>
      </c>
      <c r="I746">
        <v>6500</v>
      </c>
      <c r="J746">
        <v>0.03</v>
      </c>
      <c r="K746" t="s">
        <v>18</v>
      </c>
      <c r="L746" t="s">
        <v>26</v>
      </c>
      <c r="M746" t="s">
        <v>291</v>
      </c>
      <c r="N746">
        <f>SalesTable[[#This Row],[الكمية]]*SalesTable[[#This Row],[سعر الوحدة]]</f>
        <v>65000</v>
      </c>
      <c r="O746">
        <f>SalesTable[[#This Row],[الكمية]]*SalesTable[[#This Row],[سعر الوحدة]]*(1-SalesTable[[#This Row],[الخصم]])</f>
        <v>63050</v>
      </c>
    </row>
    <row r="747" spans="1:15" x14ac:dyDescent="0.3">
      <c r="A747">
        <v>10746</v>
      </c>
      <c r="B747" t="s">
        <v>36</v>
      </c>
      <c r="C747" s="3">
        <v>46080</v>
      </c>
      <c r="D747" t="s">
        <v>29</v>
      </c>
      <c r="E747" t="s">
        <v>30</v>
      </c>
      <c r="F747" t="s">
        <v>84</v>
      </c>
      <c r="G747" t="s">
        <v>120</v>
      </c>
      <c r="H747">
        <v>9</v>
      </c>
      <c r="I747">
        <v>7500</v>
      </c>
      <c r="J747">
        <v>0.03</v>
      </c>
      <c r="K747" t="s">
        <v>38</v>
      </c>
      <c r="L747" t="s">
        <v>19</v>
      </c>
      <c r="M747" t="s">
        <v>125</v>
      </c>
      <c r="N747">
        <f>SalesTable[[#This Row],[الكمية]]*SalesTable[[#This Row],[سعر الوحدة]]</f>
        <v>67500</v>
      </c>
      <c r="O747">
        <f>SalesTable[[#This Row],[الكمية]]*SalesTable[[#This Row],[سعر الوحدة]]*(1-SalesTable[[#This Row],[الخصم]])</f>
        <v>65475</v>
      </c>
    </row>
    <row r="748" spans="1:15" x14ac:dyDescent="0.3">
      <c r="A748">
        <v>10747</v>
      </c>
      <c r="B748" t="s">
        <v>52</v>
      </c>
      <c r="C748" s="3">
        <v>46308</v>
      </c>
      <c r="D748" t="s">
        <v>104</v>
      </c>
      <c r="E748" t="s">
        <v>23</v>
      </c>
      <c r="F748" t="s">
        <v>64</v>
      </c>
      <c r="G748" t="s">
        <v>65</v>
      </c>
      <c r="H748">
        <v>6</v>
      </c>
      <c r="I748">
        <v>28000</v>
      </c>
      <c r="J748">
        <v>0.15</v>
      </c>
      <c r="K748" t="s">
        <v>18</v>
      </c>
      <c r="L748" t="s">
        <v>19</v>
      </c>
      <c r="M748" t="s">
        <v>123</v>
      </c>
      <c r="N748">
        <f>SalesTable[[#This Row],[الكمية]]*SalesTable[[#This Row],[سعر الوحدة]]</f>
        <v>168000</v>
      </c>
      <c r="O748">
        <f>SalesTable[[#This Row],[الكمية]]*SalesTable[[#This Row],[سعر الوحدة]]*(1-SalesTable[[#This Row],[الخصم]])</f>
        <v>142800</v>
      </c>
    </row>
    <row r="749" spans="1:15" x14ac:dyDescent="0.3">
      <c r="A749">
        <v>10748</v>
      </c>
      <c r="B749" t="s">
        <v>94</v>
      </c>
      <c r="C749" s="3">
        <v>46182</v>
      </c>
      <c r="D749" t="s">
        <v>48</v>
      </c>
      <c r="E749" t="s">
        <v>30</v>
      </c>
      <c r="F749" t="s">
        <v>16</v>
      </c>
      <c r="G749" t="s">
        <v>189</v>
      </c>
      <c r="H749">
        <v>5</v>
      </c>
      <c r="I749">
        <v>9000</v>
      </c>
      <c r="J749">
        <v>7.0000000000000007E-2</v>
      </c>
      <c r="K749" t="s">
        <v>33</v>
      </c>
      <c r="L749" t="s">
        <v>26</v>
      </c>
      <c r="M749" t="s">
        <v>66</v>
      </c>
      <c r="N749">
        <f>SalesTable[[#This Row],[الكمية]]*SalesTable[[#This Row],[سعر الوحدة]]</f>
        <v>45000</v>
      </c>
      <c r="O749">
        <f>SalesTable[[#This Row],[الكمية]]*SalesTable[[#This Row],[سعر الوحدة]]*(1-SalesTable[[#This Row],[الخصم]])</f>
        <v>41850</v>
      </c>
    </row>
    <row r="750" spans="1:15" x14ac:dyDescent="0.3">
      <c r="A750">
        <v>10749</v>
      </c>
      <c r="B750" t="s">
        <v>62</v>
      </c>
      <c r="C750" s="3">
        <v>46370</v>
      </c>
      <c r="D750" t="s">
        <v>29</v>
      </c>
      <c r="E750" t="s">
        <v>30</v>
      </c>
      <c r="F750" t="s">
        <v>87</v>
      </c>
      <c r="G750" t="s">
        <v>88</v>
      </c>
      <c r="H750">
        <v>4</v>
      </c>
      <c r="I750">
        <v>7500</v>
      </c>
      <c r="J750">
        <v>0</v>
      </c>
      <c r="K750" t="s">
        <v>38</v>
      </c>
      <c r="L750" t="s">
        <v>26</v>
      </c>
      <c r="M750" t="s">
        <v>265</v>
      </c>
      <c r="N750">
        <f>SalesTable[[#This Row],[الكمية]]*SalesTable[[#This Row],[سعر الوحدة]]</f>
        <v>30000</v>
      </c>
      <c r="O750">
        <f>SalesTable[[#This Row],[الكمية]]*SalesTable[[#This Row],[سعر الوحدة]]*(1-SalesTable[[#This Row],[الخصم]])</f>
        <v>30000</v>
      </c>
    </row>
    <row r="751" spans="1:15" x14ac:dyDescent="0.3">
      <c r="A751">
        <v>10750</v>
      </c>
      <c r="B751" t="s">
        <v>62</v>
      </c>
      <c r="C751" s="3">
        <v>46290</v>
      </c>
      <c r="D751" t="s">
        <v>14</v>
      </c>
      <c r="E751" t="s">
        <v>15</v>
      </c>
      <c r="F751" t="s">
        <v>59</v>
      </c>
      <c r="G751" t="s">
        <v>75</v>
      </c>
      <c r="H751">
        <v>2</v>
      </c>
      <c r="I751">
        <v>650</v>
      </c>
      <c r="J751">
        <v>7.0000000000000007E-2</v>
      </c>
      <c r="K751" t="s">
        <v>18</v>
      </c>
      <c r="L751" t="s">
        <v>19</v>
      </c>
      <c r="M751" t="s">
        <v>225</v>
      </c>
      <c r="N751">
        <f>SalesTable[[#This Row],[الكمية]]*SalesTable[[#This Row],[سعر الوحدة]]</f>
        <v>1300</v>
      </c>
      <c r="O751">
        <f>SalesTable[[#This Row],[الكمية]]*SalesTable[[#This Row],[سعر الوحدة]]*(1-SalesTable[[#This Row],[الخصم]])</f>
        <v>1209</v>
      </c>
    </row>
    <row r="752" spans="1:15" x14ac:dyDescent="0.3">
      <c r="A752">
        <v>10751</v>
      </c>
      <c r="B752" t="s">
        <v>112</v>
      </c>
      <c r="C752" s="3">
        <v>46056</v>
      </c>
      <c r="D752" t="s">
        <v>29</v>
      </c>
      <c r="E752" t="s">
        <v>30</v>
      </c>
      <c r="F752" t="s">
        <v>84</v>
      </c>
      <c r="G752" t="s">
        <v>113</v>
      </c>
      <c r="H752">
        <v>10</v>
      </c>
      <c r="I752">
        <v>7500</v>
      </c>
      <c r="J752">
        <v>0</v>
      </c>
      <c r="K752" t="s">
        <v>38</v>
      </c>
      <c r="L752" t="s">
        <v>26</v>
      </c>
      <c r="M752" t="s">
        <v>170</v>
      </c>
      <c r="N752">
        <f>SalesTable[[#This Row],[الكمية]]*SalesTable[[#This Row],[سعر الوحدة]]</f>
        <v>75000</v>
      </c>
      <c r="O752">
        <f>SalesTable[[#This Row],[الكمية]]*SalesTable[[#This Row],[سعر الوحدة]]*(1-SalesTable[[#This Row],[الخصم]])</f>
        <v>75000</v>
      </c>
    </row>
    <row r="753" spans="1:15" x14ac:dyDescent="0.3">
      <c r="A753">
        <v>10752</v>
      </c>
      <c r="B753" t="s">
        <v>62</v>
      </c>
      <c r="C753" s="3">
        <v>46165</v>
      </c>
      <c r="D753" t="s">
        <v>45</v>
      </c>
      <c r="E753" t="s">
        <v>46</v>
      </c>
      <c r="F753" t="s">
        <v>84</v>
      </c>
      <c r="G753" t="s">
        <v>120</v>
      </c>
      <c r="H753">
        <v>4</v>
      </c>
      <c r="I753">
        <v>1200</v>
      </c>
      <c r="J753">
        <v>7.0000000000000007E-2</v>
      </c>
      <c r="K753" t="s">
        <v>38</v>
      </c>
      <c r="L753" t="s">
        <v>47</v>
      </c>
      <c r="M753" t="s">
        <v>221</v>
      </c>
      <c r="N753">
        <f>SalesTable[[#This Row],[الكمية]]*SalesTable[[#This Row],[سعر الوحدة]]</f>
        <v>4800</v>
      </c>
      <c r="O753">
        <f>SalesTable[[#This Row],[الكمية]]*SalesTable[[#This Row],[سعر الوحدة]]*(1-SalesTable[[#This Row],[الخصم]])</f>
        <v>4464</v>
      </c>
    </row>
    <row r="754" spans="1:15" x14ac:dyDescent="0.3">
      <c r="A754">
        <v>10753</v>
      </c>
      <c r="B754" t="s">
        <v>112</v>
      </c>
      <c r="C754" s="3">
        <v>46255</v>
      </c>
      <c r="D754" t="s">
        <v>48</v>
      </c>
      <c r="E754" t="s">
        <v>30</v>
      </c>
      <c r="F754" t="s">
        <v>84</v>
      </c>
      <c r="G754" t="s">
        <v>85</v>
      </c>
      <c r="H754">
        <v>9</v>
      </c>
      <c r="I754">
        <v>9000</v>
      </c>
      <c r="J754">
        <v>0.05</v>
      </c>
      <c r="K754" t="s">
        <v>18</v>
      </c>
      <c r="L754" t="s">
        <v>19</v>
      </c>
      <c r="M754" t="s">
        <v>321</v>
      </c>
      <c r="N754">
        <f>SalesTable[[#This Row],[الكمية]]*SalesTable[[#This Row],[سعر الوحدة]]</f>
        <v>81000</v>
      </c>
      <c r="O754">
        <f>SalesTable[[#This Row],[الكمية]]*SalesTable[[#This Row],[سعر الوحدة]]*(1-SalesTable[[#This Row],[الخصم]])</f>
        <v>76950</v>
      </c>
    </row>
    <row r="755" spans="1:15" x14ac:dyDescent="0.3">
      <c r="A755">
        <v>10754</v>
      </c>
      <c r="B755" t="s">
        <v>44</v>
      </c>
      <c r="C755" s="3">
        <v>46050</v>
      </c>
      <c r="D755" t="s">
        <v>48</v>
      </c>
      <c r="E755" t="s">
        <v>30</v>
      </c>
      <c r="F755" t="s">
        <v>59</v>
      </c>
      <c r="G755" t="s">
        <v>60</v>
      </c>
      <c r="H755">
        <v>3</v>
      </c>
      <c r="I755">
        <v>9000</v>
      </c>
      <c r="J755">
        <v>0</v>
      </c>
      <c r="K755" t="s">
        <v>18</v>
      </c>
      <c r="L755" t="s">
        <v>47</v>
      </c>
      <c r="M755" t="s">
        <v>361</v>
      </c>
      <c r="N755">
        <f>SalesTable[[#This Row],[الكمية]]*SalesTable[[#This Row],[سعر الوحدة]]</f>
        <v>27000</v>
      </c>
      <c r="O755">
        <f>SalesTable[[#This Row],[الكمية]]*SalesTable[[#This Row],[سعر الوحدة]]*(1-SalesTable[[#This Row],[الخصم]])</f>
        <v>27000</v>
      </c>
    </row>
    <row r="756" spans="1:15" x14ac:dyDescent="0.3">
      <c r="A756">
        <v>10755</v>
      </c>
      <c r="B756" t="s">
        <v>52</v>
      </c>
      <c r="C756" s="3">
        <v>46341</v>
      </c>
      <c r="D756" t="s">
        <v>37</v>
      </c>
      <c r="E756" t="s">
        <v>23</v>
      </c>
      <c r="F756" t="s">
        <v>84</v>
      </c>
      <c r="G756" t="s">
        <v>113</v>
      </c>
      <c r="H756">
        <v>6</v>
      </c>
      <c r="I756">
        <v>32000</v>
      </c>
      <c r="J756">
        <v>0.03</v>
      </c>
      <c r="K756" t="s">
        <v>18</v>
      </c>
      <c r="L756" t="s">
        <v>19</v>
      </c>
      <c r="M756" t="s">
        <v>312</v>
      </c>
      <c r="N756">
        <f>SalesTable[[#This Row],[الكمية]]*SalesTable[[#This Row],[سعر الوحدة]]</f>
        <v>192000</v>
      </c>
      <c r="O756">
        <f>SalesTable[[#This Row],[الكمية]]*SalesTable[[#This Row],[سعر الوحدة]]*(1-SalesTable[[#This Row],[الخصم]])</f>
        <v>186240</v>
      </c>
    </row>
    <row r="757" spans="1:15" x14ac:dyDescent="0.3">
      <c r="A757">
        <v>10756</v>
      </c>
      <c r="B757" t="s">
        <v>62</v>
      </c>
      <c r="C757" s="3">
        <v>46274</v>
      </c>
      <c r="D757" t="s">
        <v>40</v>
      </c>
      <c r="E757" t="s">
        <v>41</v>
      </c>
      <c r="F757" t="s">
        <v>59</v>
      </c>
      <c r="G757" t="s">
        <v>105</v>
      </c>
      <c r="H757">
        <v>4</v>
      </c>
      <c r="I757">
        <v>150</v>
      </c>
      <c r="J757">
        <v>0.05</v>
      </c>
      <c r="K757" t="s">
        <v>38</v>
      </c>
      <c r="L757" t="s">
        <v>34</v>
      </c>
      <c r="M757" t="s">
        <v>76</v>
      </c>
      <c r="N757">
        <f>SalesTable[[#This Row],[الكمية]]*SalesTable[[#This Row],[سعر الوحدة]]</f>
        <v>600</v>
      </c>
      <c r="O757">
        <f>SalesTable[[#This Row],[الكمية]]*SalesTable[[#This Row],[سعر الوحدة]]*(1-SalesTable[[#This Row],[الخصم]])</f>
        <v>570</v>
      </c>
    </row>
    <row r="758" spans="1:15" x14ac:dyDescent="0.3">
      <c r="A758">
        <v>10757</v>
      </c>
      <c r="B758" t="s">
        <v>36</v>
      </c>
      <c r="C758" s="3">
        <v>46253</v>
      </c>
      <c r="D758" t="s">
        <v>53</v>
      </c>
      <c r="E758" t="s">
        <v>15</v>
      </c>
      <c r="F758" t="s">
        <v>24</v>
      </c>
      <c r="G758" t="s">
        <v>25</v>
      </c>
      <c r="H758">
        <v>7</v>
      </c>
      <c r="I758">
        <v>3200</v>
      </c>
      <c r="J758">
        <v>0</v>
      </c>
      <c r="K758" t="s">
        <v>38</v>
      </c>
      <c r="L758" t="s">
        <v>47</v>
      </c>
      <c r="M758" t="s">
        <v>152</v>
      </c>
      <c r="N758">
        <f>SalesTable[[#This Row],[الكمية]]*SalesTable[[#This Row],[سعر الوحدة]]</f>
        <v>22400</v>
      </c>
      <c r="O758">
        <f>SalesTable[[#This Row],[الكمية]]*SalesTable[[#This Row],[سعر الوحدة]]*(1-SalesTable[[#This Row],[الخصم]])</f>
        <v>22400</v>
      </c>
    </row>
    <row r="759" spans="1:15" x14ac:dyDescent="0.3">
      <c r="A759">
        <v>10758</v>
      </c>
      <c r="B759" t="s">
        <v>52</v>
      </c>
      <c r="C759" s="3">
        <v>46384</v>
      </c>
      <c r="D759" t="s">
        <v>48</v>
      </c>
      <c r="E759" t="s">
        <v>30</v>
      </c>
      <c r="F759" t="s">
        <v>24</v>
      </c>
      <c r="G759" t="s">
        <v>25</v>
      </c>
      <c r="H759">
        <v>3</v>
      </c>
      <c r="I759">
        <v>9000</v>
      </c>
      <c r="J759">
        <v>0.1</v>
      </c>
      <c r="K759" t="s">
        <v>55</v>
      </c>
      <c r="L759" t="s">
        <v>47</v>
      </c>
      <c r="M759" t="s">
        <v>83</v>
      </c>
      <c r="N759">
        <f>SalesTable[[#This Row],[الكمية]]*SalesTable[[#This Row],[سعر الوحدة]]</f>
        <v>27000</v>
      </c>
      <c r="O759">
        <f>SalesTable[[#This Row],[الكمية]]*SalesTable[[#This Row],[سعر الوحدة]]*(1-SalesTable[[#This Row],[الخصم]])</f>
        <v>24300</v>
      </c>
    </row>
    <row r="760" spans="1:15" x14ac:dyDescent="0.3">
      <c r="A760">
        <v>10759</v>
      </c>
      <c r="B760" t="s">
        <v>44</v>
      </c>
      <c r="C760" s="3">
        <v>46314</v>
      </c>
      <c r="D760" t="s">
        <v>37</v>
      </c>
      <c r="E760" t="s">
        <v>23</v>
      </c>
      <c r="F760" t="s">
        <v>87</v>
      </c>
      <c r="G760" t="s">
        <v>103</v>
      </c>
      <c r="H760">
        <v>7</v>
      </c>
      <c r="I760">
        <v>32000</v>
      </c>
      <c r="J760">
        <v>7.0000000000000007E-2</v>
      </c>
      <c r="K760" t="s">
        <v>33</v>
      </c>
      <c r="L760" t="s">
        <v>47</v>
      </c>
      <c r="M760" t="s">
        <v>208</v>
      </c>
      <c r="N760">
        <f>SalesTable[[#This Row],[الكمية]]*SalesTable[[#This Row],[سعر الوحدة]]</f>
        <v>224000</v>
      </c>
      <c r="O760">
        <f>SalesTable[[#This Row],[الكمية]]*SalesTable[[#This Row],[سعر الوحدة]]*(1-SalesTable[[#This Row],[الخصم]])</f>
        <v>208320</v>
      </c>
    </row>
    <row r="761" spans="1:15" x14ac:dyDescent="0.3">
      <c r="A761">
        <v>10760</v>
      </c>
      <c r="B761" t="s">
        <v>62</v>
      </c>
      <c r="C761" s="3">
        <v>46325</v>
      </c>
      <c r="D761" t="s">
        <v>53</v>
      </c>
      <c r="E761" t="s">
        <v>15</v>
      </c>
      <c r="F761" t="s">
        <v>64</v>
      </c>
      <c r="G761" t="s">
        <v>71</v>
      </c>
      <c r="H761">
        <v>7</v>
      </c>
      <c r="I761">
        <v>3200</v>
      </c>
      <c r="J761">
        <v>0.05</v>
      </c>
      <c r="K761" t="s">
        <v>33</v>
      </c>
      <c r="L761" t="s">
        <v>34</v>
      </c>
      <c r="M761" t="s">
        <v>212</v>
      </c>
      <c r="N761">
        <f>SalesTable[[#This Row],[الكمية]]*SalesTable[[#This Row],[سعر الوحدة]]</f>
        <v>22400</v>
      </c>
      <c r="O761">
        <f>SalesTable[[#This Row],[الكمية]]*SalesTable[[#This Row],[سعر الوحدة]]*(1-SalesTable[[#This Row],[الخصم]])</f>
        <v>21280</v>
      </c>
    </row>
    <row r="762" spans="1:15" x14ac:dyDescent="0.3">
      <c r="A762">
        <v>10761</v>
      </c>
      <c r="B762" t="s">
        <v>112</v>
      </c>
      <c r="C762" s="3">
        <v>46210</v>
      </c>
      <c r="D762" t="s">
        <v>70</v>
      </c>
      <c r="E762" t="s">
        <v>46</v>
      </c>
      <c r="F762" t="s">
        <v>24</v>
      </c>
      <c r="G762" t="s">
        <v>25</v>
      </c>
      <c r="H762">
        <v>10</v>
      </c>
      <c r="I762">
        <v>1800</v>
      </c>
      <c r="J762">
        <v>0</v>
      </c>
      <c r="K762" t="s">
        <v>38</v>
      </c>
      <c r="L762" t="s">
        <v>19</v>
      </c>
      <c r="M762" t="s">
        <v>165</v>
      </c>
      <c r="N762">
        <f>SalesTable[[#This Row],[الكمية]]*SalesTable[[#This Row],[سعر الوحدة]]</f>
        <v>18000</v>
      </c>
      <c r="O762">
        <f>SalesTable[[#This Row],[الكمية]]*SalesTable[[#This Row],[سعر الوحدة]]*(1-SalesTable[[#This Row],[الخصم]])</f>
        <v>18000</v>
      </c>
    </row>
    <row r="763" spans="1:15" x14ac:dyDescent="0.3">
      <c r="A763">
        <v>10762</v>
      </c>
      <c r="B763" t="s">
        <v>36</v>
      </c>
      <c r="C763" s="3">
        <v>46202</v>
      </c>
      <c r="D763" t="s">
        <v>29</v>
      </c>
      <c r="E763" t="s">
        <v>30</v>
      </c>
      <c r="F763" t="s">
        <v>16</v>
      </c>
      <c r="G763" t="s">
        <v>189</v>
      </c>
      <c r="H763">
        <v>6</v>
      </c>
      <c r="I763">
        <v>7500</v>
      </c>
      <c r="J763">
        <v>0.05</v>
      </c>
      <c r="K763" t="s">
        <v>18</v>
      </c>
      <c r="L763" t="s">
        <v>26</v>
      </c>
      <c r="M763" t="s">
        <v>78</v>
      </c>
      <c r="N763">
        <f>SalesTable[[#This Row],[الكمية]]*SalesTable[[#This Row],[سعر الوحدة]]</f>
        <v>45000</v>
      </c>
      <c r="O763">
        <f>SalesTable[[#This Row],[الكمية]]*SalesTable[[#This Row],[سعر الوحدة]]*(1-SalesTable[[#This Row],[الخصم]])</f>
        <v>42750</v>
      </c>
    </row>
    <row r="764" spans="1:15" x14ac:dyDescent="0.3">
      <c r="A764">
        <v>10763</v>
      </c>
      <c r="B764" t="s">
        <v>44</v>
      </c>
      <c r="C764" s="3">
        <v>46179</v>
      </c>
      <c r="D764" t="s">
        <v>45</v>
      </c>
      <c r="E764" t="s">
        <v>46</v>
      </c>
      <c r="F764" t="s">
        <v>87</v>
      </c>
      <c r="G764" t="s">
        <v>103</v>
      </c>
      <c r="H764">
        <v>2</v>
      </c>
      <c r="I764">
        <v>1200</v>
      </c>
      <c r="J764">
        <v>0.15</v>
      </c>
      <c r="K764" t="s">
        <v>18</v>
      </c>
      <c r="L764" t="s">
        <v>34</v>
      </c>
      <c r="M764" t="s">
        <v>266</v>
      </c>
      <c r="N764">
        <f>SalesTable[[#This Row],[الكمية]]*SalesTable[[#This Row],[سعر الوحدة]]</f>
        <v>2400</v>
      </c>
      <c r="O764">
        <f>SalesTable[[#This Row],[الكمية]]*SalesTable[[#This Row],[سعر الوحدة]]*(1-SalesTable[[#This Row],[الخصم]])</f>
        <v>2040</v>
      </c>
    </row>
    <row r="765" spans="1:15" x14ac:dyDescent="0.3">
      <c r="A765">
        <v>10764</v>
      </c>
      <c r="B765" t="s">
        <v>36</v>
      </c>
      <c r="C765" s="3">
        <v>46313</v>
      </c>
      <c r="D765" t="s">
        <v>22</v>
      </c>
      <c r="E765" t="s">
        <v>23</v>
      </c>
      <c r="F765" t="s">
        <v>49</v>
      </c>
      <c r="G765" t="s">
        <v>50</v>
      </c>
      <c r="H765">
        <v>8</v>
      </c>
      <c r="I765">
        <v>25000</v>
      </c>
      <c r="J765">
        <v>0.15</v>
      </c>
      <c r="K765" t="s">
        <v>33</v>
      </c>
      <c r="L765" t="s">
        <v>34</v>
      </c>
      <c r="M765" t="s">
        <v>296</v>
      </c>
      <c r="N765">
        <f>SalesTable[[#This Row],[الكمية]]*SalesTable[[#This Row],[سعر الوحدة]]</f>
        <v>200000</v>
      </c>
      <c r="O765">
        <f>SalesTable[[#This Row],[الكمية]]*SalesTable[[#This Row],[سعر الوحدة]]*(1-SalesTable[[#This Row],[الخصم]])</f>
        <v>170000</v>
      </c>
    </row>
    <row r="766" spans="1:15" x14ac:dyDescent="0.3">
      <c r="A766">
        <v>10765</v>
      </c>
      <c r="B766" t="s">
        <v>36</v>
      </c>
      <c r="C766" s="3">
        <v>46315</v>
      </c>
      <c r="D766" t="s">
        <v>81</v>
      </c>
      <c r="E766" t="s">
        <v>41</v>
      </c>
      <c r="F766" t="s">
        <v>59</v>
      </c>
      <c r="G766" t="s">
        <v>75</v>
      </c>
      <c r="H766">
        <v>1</v>
      </c>
      <c r="I766">
        <v>2200</v>
      </c>
      <c r="J766">
        <v>0.05</v>
      </c>
      <c r="K766" t="s">
        <v>33</v>
      </c>
      <c r="L766" t="s">
        <v>34</v>
      </c>
      <c r="M766" t="s">
        <v>244</v>
      </c>
      <c r="N766">
        <f>SalesTable[[#This Row],[الكمية]]*SalesTable[[#This Row],[سعر الوحدة]]</f>
        <v>2200</v>
      </c>
      <c r="O766">
        <f>SalesTable[[#This Row],[الكمية]]*SalesTable[[#This Row],[سعر الوحدة]]*(1-SalesTable[[#This Row],[الخصم]])</f>
        <v>2090</v>
      </c>
    </row>
    <row r="767" spans="1:15" x14ac:dyDescent="0.3">
      <c r="A767">
        <v>10766</v>
      </c>
      <c r="B767" t="s">
        <v>62</v>
      </c>
      <c r="C767" s="3">
        <v>46280</v>
      </c>
      <c r="D767" t="s">
        <v>104</v>
      </c>
      <c r="E767" t="s">
        <v>23</v>
      </c>
      <c r="F767" t="s">
        <v>59</v>
      </c>
      <c r="G767" t="s">
        <v>60</v>
      </c>
      <c r="H767">
        <v>4</v>
      </c>
      <c r="I767">
        <v>28000</v>
      </c>
      <c r="J767">
        <v>0.05</v>
      </c>
      <c r="K767" t="s">
        <v>38</v>
      </c>
      <c r="L767" t="s">
        <v>26</v>
      </c>
      <c r="M767" t="s">
        <v>249</v>
      </c>
      <c r="N767">
        <f>SalesTable[[#This Row],[الكمية]]*SalesTable[[#This Row],[سعر الوحدة]]</f>
        <v>112000</v>
      </c>
      <c r="O767">
        <f>SalesTable[[#This Row],[الكمية]]*SalesTable[[#This Row],[سعر الوحدة]]*(1-SalesTable[[#This Row],[الخصم]])</f>
        <v>106400</v>
      </c>
    </row>
    <row r="768" spans="1:15" x14ac:dyDescent="0.3">
      <c r="A768">
        <v>10767</v>
      </c>
      <c r="B768" t="s">
        <v>44</v>
      </c>
      <c r="C768" s="3">
        <v>46297</v>
      </c>
      <c r="D768" t="s">
        <v>70</v>
      </c>
      <c r="E768" t="s">
        <v>46</v>
      </c>
      <c r="F768" t="s">
        <v>84</v>
      </c>
      <c r="G768" t="s">
        <v>120</v>
      </c>
      <c r="H768">
        <v>8</v>
      </c>
      <c r="I768">
        <v>1800</v>
      </c>
      <c r="J768">
        <v>0.15</v>
      </c>
      <c r="K768" t="s">
        <v>55</v>
      </c>
      <c r="L768" t="s">
        <v>34</v>
      </c>
      <c r="M768" t="s">
        <v>39</v>
      </c>
      <c r="N768">
        <f>SalesTable[[#This Row],[الكمية]]*SalesTable[[#This Row],[سعر الوحدة]]</f>
        <v>14400</v>
      </c>
      <c r="O768">
        <f>SalesTable[[#This Row],[الكمية]]*SalesTable[[#This Row],[سعر الوحدة]]*(1-SalesTable[[#This Row],[الخصم]])</f>
        <v>12240</v>
      </c>
    </row>
    <row r="769" spans="1:15" x14ac:dyDescent="0.3">
      <c r="A769">
        <v>10768</v>
      </c>
      <c r="B769" t="s">
        <v>94</v>
      </c>
      <c r="C769" s="3">
        <v>46070</v>
      </c>
      <c r="D769" t="s">
        <v>22</v>
      </c>
      <c r="E769" t="s">
        <v>23</v>
      </c>
      <c r="F769" t="s">
        <v>87</v>
      </c>
      <c r="G769" t="s">
        <v>103</v>
      </c>
      <c r="H769">
        <v>7</v>
      </c>
      <c r="I769">
        <v>25000</v>
      </c>
      <c r="J769">
        <v>0.03</v>
      </c>
      <c r="K769" t="s">
        <v>18</v>
      </c>
      <c r="L769" t="s">
        <v>34</v>
      </c>
      <c r="M769" t="s">
        <v>197</v>
      </c>
      <c r="N769">
        <f>SalesTable[[#This Row],[الكمية]]*SalesTable[[#This Row],[سعر الوحدة]]</f>
        <v>175000</v>
      </c>
      <c r="O769">
        <f>SalesTable[[#This Row],[الكمية]]*SalesTable[[#This Row],[سعر الوحدة]]*(1-SalesTable[[#This Row],[الخصم]])</f>
        <v>169750</v>
      </c>
    </row>
    <row r="770" spans="1:15" x14ac:dyDescent="0.3">
      <c r="A770">
        <v>10769</v>
      </c>
      <c r="B770" t="s">
        <v>44</v>
      </c>
      <c r="C770" s="3">
        <v>46356</v>
      </c>
      <c r="D770" t="s">
        <v>104</v>
      </c>
      <c r="E770" t="s">
        <v>23</v>
      </c>
      <c r="F770" t="s">
        <v>59</v>
      </c>
      <c r="G770" t="s">
        <v>105</v>
      </c>
      <c r="H770">
        <v>4</v>
      </c>
      <c r="I770">
        <v>28000</v>
      </c>
      <c r="J770">
        <v>0.05</v>
      </c>
      <c r="K770" t="s">
        <v>38</v>
      </c>
      <c r="L770" t="s">
        <v>34</v>
      </c>
      <c r="M770" t="s">
        <v>343</v>
      </c>
      <c r="N770">
        <f>SalesTable[[#This Row],[الكمية]]*SalesTable[[#This Row],[سعر الوحدة]]</f>
        <v>112000</v>
      </c>
      <c r="O770">
        <f>SalesTable[[#This Row],[الكمية]]*SalesTable[[#This Row],[سعر الوحدة]]*(1-SalesTable[[#This Row],[الخصم]])</f>
        <v>106400</v>
      </c>
    </row>
    <row r="771" spans="1:15" x14ac:dyDescent="0.3">
      <c r="A771">
        <v>10770</v>
      </c>
      <c r="B771" t="s">
        <v>52</v>
      </c>
      <c r="C771" s="3">
        <v>46342</v>
      </c>
      <c r="D771" t="s">
        <v>14</v>
      </c>
      <c r="E771" t="s">
        <v>15</v>
      </c>
      <c r="F771" t="s">
        <v>49</v>
      </c>
      <c r="G771" t="s">
        <v>50</v>
      </c>
      <c r="H771">
        <v>7</v>
      </c>
      <c r="I771">
        <v>650</v>
      </c>
      <c r="J771">
        <v>7.0000000000000007E-2</v>
      </c>
      <c r="K771" t="s">
        <v>33</v>
      </c>
      <c r="L771" t="s">
        <v>26</v>
      </c>
      <c r="M771" t="s">
        <v>217</v>
      </c>
      <c r="N771">
        <f>SalesTable[[#This Row],[الكمية]]*SalesTable[[#This Row],[سعر الوحدة]]</f>
        <v>4550</v>
      </c>
      <c r="O771">
        <f>SalesTable[[#This Row],[الكمية]]*SalesTable[[#This Row],[سعر الوحدة]]*(1-SalesTable[[#This Row],[الخصم]])</f>
        <v>4231.5</v>
      </c>
    </row>
    <row r="772" spans="1:15" x14ac:dyDescent="0.3">
      <c r="A772">
        <v>10771</v>
      </c>
      <c r="B772" t="s">
        <v>62</v>
      </c>
      <c r="C772" s="3">
        <v>46160</v>
      </c>
      <c r="D772" t="s">
        <v>14</v>
      </c>
      <c r="E772" t="s">
        <v>15</v>
      </c>
      <c r="F772" t="s">
        <v>64</v>
      </c>
      <c r="G772" t="s">
        <v>65</v>
      </c>
      <c r="H772">
        <v>4</v>
      </c>
      <c r="I772">
        <v>650</v>
      </c>
      <c r="J772">
        <v>0.15</v>
      </c>
      <c r="K772" t="s">
        <v>33</v>
      </c>
      <c r="L772" t="s">
        <v>19</v>
      </c>
      <c r="M772" t="s">
        <v>362</v>
      </c>
      <c r="N772">
        <f>SalesTable[[#This Row],[الكمية]]*SalesTable[[#This Row],[سعر الوحدة]]</f>
        <v>2600</v>
      </c>
      <c r="O772">
        <f>SalesTable[[#This Row],[الكمية]]*SalesTable[[#This Row],[سعر الوحدة]]*(1-SalesTable[[#This Row],[الخصم]])</f>
        <v>2210</v>
      </c>
    </row>
    <row r="773" spans="1:15" x14ac:dyDescent="0.3">
      <c r="A773">
        <v>10772</v>
      </c>
      <c r="B773" t="s">
        <v>112</v>
      </c>
      <c r="C773" s="3">
        <v>46373</v>
      </c>
      <c r="D773" t="s">
        <v>45</v>
      </c>
      <c r="E773" t="s">
        <v>46</v>
      </c>
      <c r="F773" t="s">
        <v>49</v>
      </c>
      <c r="G773" t="s">
        <v>98</v>
      </c>
      <c r="H773">
        <v>3</v>
      </c>
      <c r="I773">
        <v>1200</v>
      </c>
      <c r="J773">
        <v>0.03</v>
      </c>
      <c r="K773" t="s">
        <v>38</v>
      </c>
      <c r="L773" t="s">
        <v>47</v>
      </c>
      <c r="M773" t="s">
        <v>194</v>
      </c>
      <c r="N773">
        <f>SalesTable[[#This Row],[الكمية]]*SalesTable[[#This Row],[سعر الوحدة]]</f>
        <v>3600</v>
      </c>
      <c r="O773">
        <f>SalesTable[[#This Row],[الكمية]]*SalesTable[[#This Row],[سعر الوحدة]]*(1-SalesTable[[#This Row],[الخصم]])</f>
        <v>3492</v>
      </c>
    </row>
    <row r="774" spans="1:15" x14ac:dyDescent="0.3">
      <c r="A774">
        <v>10773</v>
      </c>
      <c r="B774" t="s">
        <v>52</v>
      </c>
      <c r="C774" s="3">
        <v>46353</v>
      </c>
      <c r="D774" t="s">
        <v>70</v>
      </c>
      <c r="E774" t="s">
        <v>46</v>
      </c>
      <c r="F774" t="s">
        <v>16</v>
      </c>
      <c r="G774" t="s">
        <v>96</v>
      </c>
      <c r="H774">
        <v>7</v>
      </c>
      <c r="I774">
        <v>1800</v>
      </c>
      <c r="J774">
        <v>0.05</v>
      </c>
      <c r="K774" t="s">
        <v>55</v>
      </c>
      <c r="L774" t="s">
        <v>34</v>
      </c>
      <c r="M774" t="s">
        <v>354</v>
      </c>
      <c r="N774">
        <f>SalesTable[[#This Row],[الكمية]]*SalesTable[[#This Row],[سعر الوحدة]]</f>
        <v>12600</v>
      </c>
      <c r="O774">
        <f>SalesTable[[#This Row],[الكمية]]*SalesTable[[#This Row],[سعر الوحدة]]*(1-SalesTable[[#This Row],[الخصم]])</f>
        <v>11970</v>
      </c>
    </row>
    <row r="775" spans="1:15" x14ac:dyDescent="0.3">
      <c r="A775">
        <v>10774</v>
      </c>
      <c r="B775" t="s">
        <v>28</v>
      </c>
      <c r="C775" s="3">
        <v>46148</v>
      </c>
      <c r="D775" t="s">
        <v>29</v>
      </c>
      <c r="E775" t="s">
        <v>30</v>
      </c>
      <c r="F775" t="s">
        <v>31</v>
      </c>
      <c r="G775" t="s">
        <v>54</v>
      </c>
      <c r="H775">
        <v>3</v>
      </c>
      <c r="I775">
        <v>7500</v>
      </c>
      <c r="J775">
        <v>0.03</v>
      </c>
      <c r="K775" t="s">
        <v>38</v>
      </c>
      <c r="L775" t="s">
        <v>47</v>
      </c>
      <c r="M775" t="s">
        <v>82</v>
      </c>
      <c r="N775">
        <f>SalesTable[[#This Row],[الكمية]]*SalesTable[[#This Row],[سعر الوحدة]]</f>
        <v>22500</v>
      </c>
      <c r="O775">
        <f>SalesTable[[#This Row],[الكمية]]*SalesTable[[#This Row],[سعر الوحدة]]*(1-SalesTable[[#This Row],[الخصم]])</f>
        <v>21825</v>
      </c>
    </row>
    <row r="776" spans="1:15" x14ac:dyDescent="0.3">
      <c r="A776">
        <v>10775</v>
      </c>
      <c r="B776" t="s">
        <v>112</v>
      </c>
      <c r="C776" s="3">
        <v>46162</v>
      </c>
      <c r="D776" t="s">
        <v>53</v>
      </c>
      <c r="E776" t="s">
        <v>15</v>
      </c>
      <c r="F776" t="s">
        <v>84</v>
      </c>
      <c r="G776" t="s">
        <v>85</v>
      </c>
      <c r="H776">
        <v>1</v>
      </c>
      <c r="I776">
        <v>3200</v>
      </c>
      <c r="J776">
        <v>0.03</v>
      </c>
      <c r="K776" t="s">
        <v>55</v>
      </c>
      <c r="L776" t="s">
        <v>19</v>
      </c>
      <c r="M776" t="s">
        <v>363</v>
      </c>
      <c r="N776">
        <f>SalesTable[[#This Row],[الكمية]]*SalesTable[[#This Row],[سعر الوحدة]]</f>
        <v>3200</v>
      </c>
      <c r="O776">
        <f>SalesTable[[#This Row],[الكمية]]*SalesTable[[#This Row],[سعر الوحدة]]*(1-SalesTable[[#This Row],[الخصم]])</f>
        <v>3104</v>
      </c>
    </row>
    <row r="777" spans="1:15" x14ac:dyDescent="0.3">
      <c r="A777">
        <v>10776</v>
      </c>
      <c r="B777" t="s">
        <v>28</v>
      </c>
      <c r="C777" s="3">
        <v>46271</v>
      </c>
      <c r="D777" t="s">
        <v>40</v>
      </c>
      <c r="E777" t="s">
        <v>41</v>
      </c>
      <c r="F777" t="s">
        <v>87</v>
      </c>
      <c r="G777" t="s">
        <v>103</v>
      </c>
      <c r="H777">
        <v>9</v>
      </c>
      <c r="I777">
        <v>150</v>
      </c>
      <c r="J777">
        <v>0.03</v>
      </c>
      <c r="K777" t="s">
        <v>18</v>
      </c>
      <c r="L777" t="s">
        <v>19</v>
      </c>
      <c r="M777" t="s">
        <v>214</v>
      </c>
      <c r="N777">
        <f>SalesTable[[#This Row],[الكمية]]*SalesTable[[#This Row],[سعر الوحدة]]</f>
        <v>1350</v>
      </c>
      <c r="O777">
        <f>SalesTable[[#This Row],[الكمية]]*SalesTable[[#This Row],[سعر الوحدة]]*(1-SalesTable[[#This Row],[الخصم]])</f>
        <v>1309.5</v>
      </c>
    </row>
    <row r="778" spans="1:15" x14ac:dyDescent="0.3">
      <c r="A778">
        <v>10777</v>
      </c>
      <c r="B778" t="s">
        <v>44</v>
      </c>
      <c r="C778" s="3">
        <v>46226</v>
      </c>
      <c r="D778" t="s">
        <v>70</v>
      </c>
      <c r="E778" t="s">
        <v>46</v>
      </c>
      <c r="F778" t="s">
        <v>87</v>
      </c>
      <c r="G778" t="s">
        <v>101</v>
      </c>
      <c r="H778">
        <v>7</v>
      </c>
      <c r="I778">
        <v>1800</v>
      </c>
      <c r="J778">
        <v>0.05</v>
      </c>
      <c r="K778" t="s">
        <v>55</v>
      </c>
      <c r="L778" t="s">
        <v>26</v>
      </c>
      <c r="M778" t="s">
        <v>108</v>
      </c>
      <c r="N778">
        <f>SalesTable[[#This Row],[الكمية]]*SalesTable[[#This Row],[سعر الوحدة]]</f>
        <v>12600</v>
      </c>
      <c r="O778">
        <f>SalesTable[[#This Row],[الكمية]]*SalesTable[[#This Row],[سعر الوحدة]]*(1-SalesTable[[#This Row],[الخصم]])</f>
        <v>11970</v>
      </c>
    </row>
    <row r="779" spans="1:15" x14ac:dyDescent="0.3">
      <c r="A779">
        <v>10778</v>
      </c>
      <c r="B779" t="s">
        <v>13</v>
      </c>
      <c r="C779" s="3">
        <v>46330</v>
      </c>
      <c r="D779" t="s">
        <v>95</v>
      </c>
      <c r="E779" t="s">
        <v>15</v>
      </c>
      <c r="F779" t="s">
        <v>16</v>
      </c>
      <c r="G779" t="s">
        <v>79</v>
      </c>
      <c r="H779">
        <v>8</v>
      </c>
      <c r="I779">
        <v>5200</v>
      </c>
      <c r="J779">
        <v>0</v>
      </c>
      <c r="K779" t="s">
        <v>18</v>
      </c>
      <c r="L779" t="s">
        <v>34</v>
      </c>
      <c r="M779" t="s">
        <v>185</v>
      </c>
      <c r="N779">
        <f>SalesTable[[#This Row],[الكمية]]*SalesTable[[#This Row],[سعر الوحدة]]</f>
        <v>41600</v>
      </c>
      <c r="O779">
        <f>SalesTable[[#This Row],[الكمية]]*SalesTable[[#This Row],[سعر الوحدة]]*(1-SalesTable[[#This Row],[الخصم]])</f>
        <v>41600</v>
      </c>
    </row>
    <row r="780" spans="1:15" x14ac:dyDescent="0.3">
      <c r="A780">
        <v>10779</v>
      </c>
      <c r="B780" t="s">
        <v>13</v>
      </c>
      <c r="C780" s="3">
        <v>46096</v>
      </c>
      <c r="D780" t="s">
        <v>68</v>
      </c>
      <c r="E780" t="s">
        <v>46</v>
      </c>
      <c r="F780" t="s">
        <v>84</v>
      </c>
      <c r="G780" t="s">
        <v>113</v>
      </c>
      <c r="H780">
        <v>4</v>
      </c>
      <c r="I780">
        <v>1400</v>
      </c>
      <c r="J780">
        <v>7.0000000000000007E-2</v>
      </c>
      <c r="K780" t="s">
        <v>18</v>
      </c>
      <c r="L780" t="s">
        <v>26</v>
      </c>
      <c r="M780" t="s">
        <v>239</v>
      </c>
      <c r="N780">
        <f>SalesTable[[#This Row],[الكمية]]*SalesTable[[#This Row],[سعر الوحدة]]</f>
        <v>5600</v>
      </c>
      <c r="O780">
        <f>SalesTable[[#This Row],[الكمية]]*SalesTable[[#This Row],[سعر الوحدة]]*(1-SalesTable[[#This Row],[الخصم]])</f>
        <v>5208</v>
      </c>
    </row>
    <row r="781" spans="1:15" x14ac:dyDescent="0.3">
      <c r="A781">
        <v>10780</v>
      </c>
      <c r="B781" t="s">
        <v>28</v>
      </c>
      <c r="C781" s="3">
        <v>46274</v>
      </c>
      <c r="D781" t="s">
        <v>110</v>
      </c>
      <c r="E781" t="s">
        <v>46</v>
      </c>
      <c r="F781" t="s">
        <v>59</v>
      </c>
      <c r="G781" t="s">
        <v>105</v>
      </c>
      <c r="H781">
        <v>5</v>
      </c>
      <c r="I781">
        <v>450</v>
      </c>
      <c r="J781">
        <v>0.1</v>
      </c>
      <c r="K781" t="s">
        <v>38</v>
      </c>
      <c r="L781" t="s">
        <v>19</v>
      </c>
      <c r="M781" t="s">
        <v>295</v>
      </c>
      <c r="N781">
        <f>SalesTable[[#This Row],[الكمية]]*SalesTable[[#This Row],[سعر الوحدة]]</f>
        <v>2250</v>
      </c>
      <c r="O781">
        <f>SalesTable[[#This Row],[الكمية]]*SalesTable[[#This Row],[سعر الوحدة]]*(1-SalesTable[[#This Row],[الخصم]])</f>
        <v>2025</v>
      </c>
    </row>
    <row r="782" spans="1:15" x14ac:dyDescent="0.3">
      <c r="A782">
        <v>10781</v>
      </c>
      <c r="B782" t="s">
        <v>112</v>
      </c>
      <c r="C782" s="3">
        <v>46208</v>
      </c>
      <c r="D782" t="s">
        <v>53</v>
      </c>
      <c r="E782" t="s">
        <v>15</v>
      </c>
      <c r="F782" t="s">
        <v>84</v>
      </c>
      <c r="G782" t="s">
        <v>85</v>
      </c>
      <c r="H782">
        <v>4</v>
      </c>
      <c r="I782">
        <v>3200</v>
      </c>
      <c r="J782">
        <v>0.05</v>
      </c>
      <c r="K782" t="s">
        <v>33</v>
      </c>
      <c r="L782" t="s">
        <v>34</v>
      </c>
      <c r="M782" t="s">
        <v>72</v>
      </c>
      <c r="N782">
        <f>SalesTable[[#This Row],[الكمية]]*SalesTable[[#This Row],[سعر الوحدة]]</f>
        <v>12800</v>
      </c>
      <c r="O782">
        <f>SalesTable[[#This Row],[الكمية]]*SalesTable[[#This Row],[سعر الوحدة]]*(1-SalesTable[[#This Row],[الخصم]])</f>
        <v>12160</v>
      </c>
    </row>
    <row r="783" spans="1:15" x14ac:dyDescent="0.3">
      <c r="A783">
        <v>10782</v>
      </c>
      <c r="B783" t="s">
        <v>21</v>
      </c>
      <c r="C783" s="3">
        <v>46219</v>
      </c>
      <c r="D783" t="s">
        <v>22</v>
      </c>
      <c r="E783" t="s">
        <v>23</v>
      </c>
      <c r="F783" t="s">
        <v>24</v>
      </c>
      <c r="G783" t="s">
        <v>25</v>
      </c>
      <c r="H783">
        <v>4</v>
      </c>
      <c r="I783">
        <v>25000</v>
      </c>
      <c r="J783">
        <v>0.05</v>
      </c>
      <c r="K783" t="s">
        <v>38</v>
      </c>
      <c r="L783" t="s">
        <v>34</v>
      </c>
      <c r="M783" t="s">
        <v>290</v>
      </c>
      <c r="N783">
        <f>SalesTable[[#This Row],[الكمية]]*SalesTable[[#This Row],[سعر الوحدة]]</f>
        <v>100000</v>
      </c>
      <c r="O783">
        <f>SalesTable[[#This Row],[الكمية]]*SalesTable[[#This Row],[سعر الوحدة]]*(1-SalesTable[[#This Row],[الخصم]])</f>
        <v>95000</v>
      </c>
    </row>
    <row r="784" spans="1:15" x14ac:dyDescent="0.3">
      <c r="A784">
        <v>10783</v>
      </c>
      <c r="B784" t="s">
        <v>36</v>
      </c>
      <c r="C784" s="3">
        <v>46153</v>
      </c>
      <c r="D784" t="s">
        <v>53</v>
      </c>
      <c r="E784" t="s">
        <v>15</v>
      </c>
      <c r="F784" t="s">
        <v>31</v>
      </c>
      <c r="G784" t="s">
        <v>32</v>
      </c>
      <c r="H784">
        <v>7</v>
      </c>
      <c r="I784">
        <v>3200</v>
      </c>
      <c r="J784">
        <v>0</v>
      </c>
      <c r="K784" t="s">
        <v>38</v>
      </c>
      <c r="L784" t="s">
        <v>19</v>
      </c>
      <c r="M784" t="s">
        <v>354</v>
      </c>
      <c r="N784">
        <f>SalesTable[[#This Row],[الكمية]]*SalesTable[[#This Row],[سعر الوحدة]]</f>
        <v>22400</v>
      </c>
      <c r="O784">
        <f>SalesTable[[#This Row],[الكمية]]*SalesTable[[#This Row],[سعر الوحدة]]*(1-SalesTable[[#This Row],[الخصم]])</f>
        <v>22400</v>
      </c>
    </row>
    <row r="785" spans="1:15" x14ac:dyDescent="0.3">
      <c r="A785">
        <v>10784</v>
      </c>
      <c r="B785" t="s">
        <v>67</v>
      </c>
      <c r="C785" s="3">
        <v>46352</v>
      </c>
      <c r="D785" t="s">
        <v>110</v>
      </c>
      <c r="E785" t="s">
        <v>46</v>
      </c>
      <c r="F785" t="s">
        <v>31</v>
      </c>
      <c r="G785" t="s">
        <v>54</v>
      </c>
      <c r="H785">
        <v>8</v>
      </c>
      <c r="I785">
        <v>450</v>
      </c>
      <c r="J785">
        <v>0.15</v>
      </c>
      <c r="K785" t="s">
        <v>33</v>
      </c>
      <c r="L785" t="s">
        <v>19</v>
      </c>
      <c r="M785" t="s">
        <v>224</v>
      </c>
      <c r="N785">
        <f>SalesTable[[#This Row],[الكمية]]*SalesTable[[#This Row],[سعر الوحدة]]</f>
        <v>3600</v>
      </c>
      <c r="O785">
        <f>SalesTable[[#This Row],[الكمية]]*SalesTable[[#This Row],[سعر الوحدة]]*(1-SalesTable[[#This Row],[الخصم]])</f>
        <v>3060</v>
      </c>
    </row>
    <row r="786" spans="1:15" x14ac:dyDescent="0.3">
      <c r="A786">
        <v>10785</v>
      </c>
      <c r="B786" t="s">
        <v>36</v>
      </c>
      <c r="C786" s="3">
        <v>46193</v>
      </c>
      <c r="D786" t="s">
        <v>68</v>
      </c>
      <c r="E786" t="s">
        <v>46</v>
      </c>
      <c r="F786" t="s">
        <v>16</v>
      </c>
      <c r="G786" t="s">
        <v>189</v>
      </c>
      <c r="H786">
        <v>8</v>
      </c>
      <c r="I786">
        <v>1400</v>
      </c>
      <c r="J786">
        <v>0.15</v>
      </c>
      <c r="K786" t="s">
        <v>33</v>
      </c>
      <c r="L786" t="s">
        <v>19</v>
      </c>
      <c r="M786" t="s">
        <v>300</v>
      </c>
      <c r="N786">
        <f>SalesTable[[#This Row],[الكمية]]*SalesTable[[#This Row],[سعر الوحدة]]</f>
        <v>11200</v>
      </c>
      <c r="O786">
        <f>SalesTable[[#This Row],[الكمية]]*SalesTable[[#This Row],[سعر الوحدة]]*(1-SalesTable[[#This Row],[الخصم]])</f>
        <v>9520</v>
      </c>
    </row>
    <row r="787" spans="1:15" x14ac:dyDescent="0.3">
      <c r="A787">
        <v>10786</v>
      </c>
      <c r="B787" t="s">
        <v>36</v>
      </c>
      <c r="C787" s="3">
        <v>46331</v>
      </c>
      <c r="D787" t="s">
        <v>81</v>
      </c>
      <c r="E787" t="s">
        <v>41</v>
      </c>
      <c r="F787" t="s">
        <v>87</v>
      </c>
      <c r="G787" t="s">
        <v>103</v>
      </c>
      <c r="H787">
        <v>2</v>
      </c>
      <c r="I787">
        <v>2200</v>
      </c>
      <c r="J787">
        <v>0.05</v>
      </c>
      <c r="K787" t="s">
        <v>38</v>
      </c>
      <c r="L787" t="s">
        <v>47</v>
      </c>
      <c r="M787" t="s">
        <v>142</v>
      </c>
      <c r="N787">
        <f>SalesTable[[#This Row],[الكمية]]*SalesTable[[#This Row],[سعر الوحدة]]</f>
        <v>4400</v>
      </c>
      <c r="O787">
        <f>SalesTable[[#This Row],[الكمية]]*SalesTable[[#This Row],[سعر الوحدة]]*(1-SalesTable[[#This Row],[الخصم]])</f>
        <v>4180</v>
      </c>
    </row>
    <row r="788" spans="1:15" x14ac:dyDescent="0.3">
      <c r="A788">
        <v>10787</v>
      </c>
      <c r="B788" t="s">
        <v>112</v>
      </c>
      <c r="C788" s="3">
        <v>46024</v>
      </c>
      <c r="D788" t="s">
        <v>40</v>
      </c>
      <c r="E788" t="s">
        <v>41</v>
      </c>
      <c r="F788" t="s">
        <v>24</v>
      </c>
      <c r="G788" t="s">
        <v>73</v>
      </c>
      <c r="H788">
        <v>8</v>
      </c>
      <c r="I788">
        <v>150</v>
      </c>
      <c r="J788">
        <v>0.15</v>
      </c>
      <c r="K788" t="s">
        <v>33</v>
      </c>
      <c r="L788" t="s">
        <v>26</v>
      </c>
      <c r="M788" t="s">
        <v>344</v>
      </c>
      <c r="N788">
        <f>SalesTable[[#This Row],[الكمية]]*SalesTable[[#This Row],[سعر الوحدة]]</f>
        <v>1200</v>
      </c>
      <c r="O788">
        <f>SalesTable[[#This Row],[الكمية]]*SalesTable[[#This Row],[سعر الوحدة]]*(1-SalesTable[[#This Row],[الخصم]])</f>
        <v>1020</v>
      </c>
    </row>
    <row r="789" spans="1:15" x14ac:dyDescent="0.3">
      <c r="A789">
        <v>10788</v>
      </c>
      <c r="B789" t="s">
        <v>21</v>
      </c>
      <c r="C789" s="3">
        <v>46355</v>
      </c>
      <c r="D789" t="s">
        <v>70</v>
      </c>
      <c r="E789" t="s">
        <v>46</v>
      </c>
      <c r="F789" t="s">
        <v>16</v>
      </c>
      <c r="G789" t="s">
        <v>17</v>
      </c>
      <c r="H789">
        <v>3</v>
      </c>
      <c r="I789">
        <v>1800</v>
      </c>
      <c r="J789">
        <v>0.03</v>
      </c>
      <c r="K789" t="s">
        <v>55</v>
      </c>
      <c r="L789" t="s">
        <v>47</v>
      </c>
      <c r="M789" t="s">
        <v>274</v>
      </c>
      <c r="N789">
        <f>SalesTable[[#This Row],[الكمية]]*SalesTable[[#This Row],[سعر الوحدة]]</f>
        <v>5400</v>
      </c>
      <c r="O789">
        <f>SalesTable[[#This Row],[الكمية]]*SalesTable[[#This Row],[سعر الوحدة]]*(1-SalesTable[[#This Row],[الخصم]])</f>
        <v>5238</v>
      </c>
    </row>
    <row r="790" spans="1:15" x14ac:dyDescent="0.3">
      <c r="A790">
        <v>10789</v>
      </c>
      <c r="B790" t="s">
        <v>112</v>
      </c>
      <c r="C790" s="3">
        <v>46374</v>
      </c>
      <c r="D790" t="s">
        <v>48</v>
      </c>
      <c r="E790" t="s">
        <v>30</v>
      </c>
      <c r="F790" t="s">
        <v>59</v>
      </c>
      <c r="G790" t="s">
        <v>75</v>
      </c>
      <c r="H790">
        <v>3</v>
      </c>
      <c r="I790">
        <v>9000</v>
      </c>
      <c r="J790">
        <v>0.05</v>
      </c>
      <c r="K790" t="s">
        <v>38</v>
      </c>
      <c r="L790" t="s">
        <v>34</v>
      </c>
      <c r="M790" t="s">
        <v>364</v>
      </c>
      <c r="N790">
        <f>SalesTable[[#This Row],[الكمية]]*SalesTable[[#This Row],[سعر الوحدة]]</f>
        <v>27000</v>
      </c>
      <c r="O790">
        <f>SalesTable[[#This Row],[الكمية]]*SalesTable[[#This Row],[سعر الوحدة]]*(1-SalesTable[[#This Row],[الخصم]])</f>
        <v>25650</v>
      </c>
    </row>
    <row r="791" spans="1:15" x14ac:dyDescent="0.3">
      <c r="A791">
        <v>10790</v>
      </c>
      <c r="B791" t="s">
        <v>36</v>
      </c>
      <c r="C791" s="3">
        <v>46315</v>
      </c>
      <c r="D791" t="s">
        <v>104</v>
      </c>
      <c r="E791" t="s">
        <v>23</v>
      </c>
      <c r="F791" t="s">
        <v>84</v>
      </c>
      <c r="G791" t="s">
        <v>85</v>
      </c>
      <c r="H791">
        <v>3</v>
      </c>
      <c r="I791">
        <v>28000</v>
      </c>
      <c r="J791">
        <v>7.0000000000000007E-2</v>
      </c>
      <c r="K791" t="s">
        <v>55</v>
      </c>
      <c r="L791" t="s">
        <v>19</v>
      </c>
      <c r="M791" t="s">
        <v>176</v>
      </c>
      <c r="N791">
        <f>SalesTable[[#This Row],[الكمية]]*SalesTable[[#This Row],[سعر الوحدة]]</f>
        <v>84000</v>
      </c>
      <c r="O791">
        <f>SalesTable[[#This Row],[الكمية]]*SalesTable[[#This Row],[سعر الوحدة]]*(1-SalesTable[[#This Row],[الخصم]])</f>
        <v>78120</v>
      </c>
    </row>
    <row r="792" spans="1:15" x14ac:dyDescent="0.3">
      <c r="A792">
        <v>10791</v>
      </c>
      <c r="B792" t="s">
        <v>52</v>
      </c>
      <c r="C792" s="3">
        <v>46382</v>
      </c>
      <c r="D792" t="s">
        <v>90</v>
      </c>
      <c r="E792" t="s">
        <v>91</v>
      </c>
      <c r="F792" t="s">
        <v>31</v>
      </c>
      <c r="G792" t="s">
        <v>54</v>
      </c>
      <c r="H792">
        <v>8</v>
      </c>
      <c r="I792">
        <v>6500</v>
      </c>
      <c r="J792">
        <v>0.03</v>
      </c>
      <c r="K792" t="s">
        <v>55</v>
      </c>
      <c r="L792" t="s">
        <v>19</v>
      </c>
      <c r="M792" t="s">
        <v>89</v>
      </c>
      <c r="N792">
        <f>SalesTable[[#This Row],[الكمية]]*SalesTable[[#This Row],[سعر الوحدة]]</f>
        <v>52000</v>
      </c>
      <c r="O792">
        <f>SalesTable[[#This Row],[الكمية]]*SalesTable[[#This Row],[سعر الوحدة]]*(1-SalesTable[[#This Row],[الخصم]])</f>
        <v>50440</v>
      </c>
    </row>
    <row r="793" spans="1:15" x14ac:dyDescent="0.3">
      <c r="A793">
        <v>10792</v>
      </c>
      <c r="B793" t="s">
        <v>44</v>
      </c>
      <c r="C793" s="3">
        <v>46211</v>
      </c>
      <c r="D793" t="s">
        <v>95</v>
      </c>
      <c r="E793" t="s">
        <v>15</v>
      </c>
      <c r="F793" t="s">
        <v>84</v>
      </c>
      <c r="G793" t="s">
        <v>113</v>
      </c>
      <c r="H793">
        <v>5</v>
      </c>
      <c r="I793">
        <v>5200</v>
      </c>
      <c r="J793">
        <v>0.03</v>
      </c>
      <c r="K793" t="s">
        <v>55</v>
      </c>
      <c r="L793" t="s">
        <v>19</v>
      </c>
      <c r="M793" t="s">
        <v>241</v>
      </c>
      <c r="N793">
        <f>SalesTable[[#This Row],[الكمية]]*SalesTable[[#This Row],[سعر الوحدة]]</f>
        <v>26000</v>
      </c>
      <c r="O793">
        <f>SalesTable[[#This Row],[الكمية]]*SalesTable[[#This Row],[سعر الوحدة]]*(1-SalesTable[[#This Row],[الخصم]])</f>
        <v>25220</v>
      </c>
    </row>
    <row r="794" spans="1:15" x14ac:dyDescent="0.3">
      <c r="A794">
        <v>10793</v>
      </c>
      <c r="B794" t="s">
        <v>13</v>
      </c>
      <c r="C794" s="3">
        <v>46127</v>
      </c>
      <c r="D794" t="s">
        <v>81</v>
      </c>
      <c r="E794" t="s">
        <v>41</v>
      </c>
      <c r="F794" t="s">
        <v>84</v>
      </c>
      <c r="G794" t="s">
        <v>85</v>
      </c>
      <c r="H794">
        <v>8</v>
      </c>
      <c r="I794">
        <v>2200</v>
      </c>
      <c r="J794">
        <v>0</v>
      </c>
      <c r="K794" t="s">
        <v>55</v>
      </c>
      <c r="L794" t="s">
        <v>34</v>
      </c>
      <c r="M794" t="s">
        <v>218</v>
      </c>
      <c r="N794">
        <f>SalesTable[[#This Row],[الكمية]]*SalesTable[[#This Row],[سعر الوحدة]]</f>
        <v>17600</v>
      </c>
      <c r="O794">
        <f>SalesTable[[#This Row],[الكمية]]*SalesTable[[#This Row],[سعر الوحدة]]*(1-SalesTable[[#This Row],[الخصم]])</f>
        <v>17600</v>
      </c>
    </row>
    <row r="795" spans="1:15" x14ac:dyDescent="0.3">
      <c r="A795">
        <v>10794</v>
      </c>
      <c r="B795" t="s">
        <v>13</v>
      </c>
      <c r="C795" s="3">
        <v>46330</v>
      </c>
      <c r="D795" t="s">
        <v>81</v>
      </c>
      <c r="E795" t="s">
        <v>41</v>
      </c>
      <c r="F795" t="s">
        <v>59</v>
      </c>
      <c r="G795" t="s">
        <v>105</v>
      </c>
      <c r="H795">
        <v>3</v>
      </c>
      <c r="I795">
        <v>2200</v>
      </c>
      <c r="J795">
        <v>7.0000000000000007E-2</v>
      </c>
      <c r="K795" t="s">
        <v>55</v>
      </c>
      <c r="L795" t="s">
        <v>34</v>
      </c>
      <c r="M795" t="s">
        <v>167</v>
      </c>
      <c r="N795">
        <f>SalesTable[[#This Row],[الكمية]]*SalesTable[[#This Row],[سعر الوحدة]]</f>
        <v>6600</v>
      </c>
      <c r="O795">
        <f>SalesTable[[#This Row],[الكمية]]*SalesTable[[#This Row],[سعر الوحدة]]*(1-SalesTable[[#This Row],[الخصم]])</f>
        <v>6138</v>
      </c>
    </row>
    <row r="796" spans="1:15" x14ac:dyDescent="0.3">
      <c r="A796">
        <v>10795</v>
      </c>
      <c r="B796" t="s">
        <v>52</v>
      </c>
      <c r="C796" s="3">
        <v>46157</v>
      </c>
      <c r="D796" t="s">
        <v>29</v>
      </c>
      <c r="E796" t="s">
        <v>30</v>
      </c>
      <c r="F796" t="s">
        <v>64</v>
      </c>
      <c r="G796" t="s">
        <v>65</v>
      </c>
      <c r="H796">
        <v>3</v>
      </c>
      <c r="I796">
        <v>7500</v>
      </c>
      <c r="J796">
        <v>0</v>
      </c>
      <c r="K796" t="s">
        <v>55</v>
      </c>
      <c r="L796" t="s">
        <v>47</v>
      </c>
      <c r="M796" t="s">
        <v>288</v>
      </c>
      <c r="N796">
        <f>SalesTable[[#This Row],[الكمية]]*SalesTable[[#This Row],[سعر الوحدة]]</f>
        <v>22500</v>
      </c>
      <c r="O796">
        <f>SalesTable[[#This Row],[الكمية]]*SalesTable[[#This Row],[سعر الوحدة]]*(1-SalesTable[[#This Row],[الخصم]])</f>
        <v>22500</v>
      </c>
    </row>
    <row r="797" spans="1:15" x14ac:dyDescent="0.3">
      <c r="A797">
        <v>10796</v>
      </c>
      <c r="B797" t="s">
        <v>112</v>
      </c>
      <c r="C797" s="3">
        <v>46188</v>
      </c>
      <c r="D797" t="s">
        <v>70</v>
      </c>
      <c r="E797" t="s">
        <v>46</v>
      </c>
      <c r="F797" t="s">
        <v>59</v>
      </c>
      <c r="G797" t="s">
        <v>60</v>
      </c>
      <c r="H797">
        <v>1</v>
      </c>
      <c r="I797">
        <v>1800</v>
      </c>
      <c r="J797">
        <v>7.0000000000000007E-2</v>
      </c>
      <c r="K797" t="s">
        <v>33</v>
      </c>
      <c r="L797" t="s">
        <v>26</v>
      </c>
      <c r="M797" t="s">
        <v>175</v>
      </c>
      <c r="N797">
        <f>SalesTable[[#This Row],[الكمية]]*SalesTable[[#This Row],[سعر الوحدة]]</f>
        <v>1800</v>
      </c>
      <c r="O797">
        <f>SalesTable[[#This Row],[الكمية]]*SalesTable[[#This Row],[سعر الوحدة]]*(1-SalesTable[[#This Row],[الخصم]])</f>
        <v>1674</v>
      </c>
    </row>
    <row r="798" spans="1:15" x14ac:dyDescent="0.3">
      <c r="A798">
        <v>10797</v>
      </c>
      <c r="B798" t="s">
        <v>44</v>
      </c>
      <c r="C798" s="3">
        <v>46071</v>
      </c>
      <c r="D798" t="s">
        <v>81</v>
      </c>
      <c r="E798" t="s">
        <v>41</v>
      </c>
      <c r="F798" t="s">
        <v>84</v>
      </c>
      <c r="G798" t="s">
        <v>113</v>
      </c>
      <c r="H798">
        <v>10</v>
      </c>
      <c r="I798">
        <v>2200</v>
      </c>
      <c r="J798">
        <v>0.05</v>
      </c>
      <c r="K798" t="s">
        <v>18</v>
      </c>
      <c r="L798" t="s">
        <v>19</v>
      </c>
      <c r="M798" t="s">
        <v>106</v>
      </c>
      <c r="N798">
        <f>SalesTable[[#This Row],[الكمية]]*SalesTable[[#This Row],[سعر الوحدة]]</f>
        <v>22000</v>
      </c>
      <c r="O798">
        <f>SalesTable[[#This Row],[الكمية]]*SalesTable[[#This Row],[سعر الوحدة]]*(1-SalesTable[[#This Row],[الخصم]])</f>
        <v>20900</v>
      </c>
    </row>
    <row r="799" spans="1:15" x14ac:dyDescent="0.3">
      <c r="A799">
        <v>10798</v>
      </c>
      <c r="B799" t="s">
        <v>94</v>
      </c>
      <c r="C799" s="3">
        <v>46386</v>
      </c>
      <c r="D799" t="s">
        <v>90</v>
      </c>
      <c r="E799" t="s">
        <v>91</v>
      </c>
      <c r="F799" t="s">
        <v>31</v>
      </c>
      <c r="G799" t="s">
        <v>32</v>
      </c>
      <c r="H799">
        <v>6</v>
      </c>
      <c r="I799">
        <v>6500</v>
      </c>
      <c r="J799">
        <v>0.1</v>
      </c>
      <c r="K799" t="s">
        <v>18</v>
      </c>
      <c r="L799" t="s">
        <v>19</v>
      </c>
      <c r="M799" t="s">
        <v>365</v>
      </c>
      <c r="N799">
        <f>SalesTable[[#This Row],[الكمية]]*SalesTable[[#This Row],[سعر الوحدة]]</f>
        <v>39000</v>
      </c>
      <c r="O799">
        <f>SalesTable[[#This Row],[الكمية]]*SalesTable[[#This Row],[سعر الوحدة]]*(1-SalesTable[[#This Row],[الخصم]])</f>
        <v>35100</v>
      </c>
    </row>
    <row r="800" spans="1:15" x14ac:dyDescent="0.3">
      <c r="A800">
        <v>10799</v>
      </c>
      <c r="B800" t="s">
        <v>67</v>
      </c>
      <c r="C800" s="3">
        <v>46090</v>
      </c>
      <c r="D800" t="s">
        <v>53</v>
      </c>
      <c r="E800" t="s">
        <v>15</v>
      </c>
      <c r="F800" t="s">
        <v>84</v>
      </c>
      <c r="G800" t="s">
        <v>85</v>
      </c>
      <c r="H800">
        <v>7</v>
      </c>
      <c r="I800">
        <v>3200</v>
      </c>
      <c r="J800">
        <v>0.15</v>
      </c>
      <c r="K800" t="s">
        <v>18</v>
      </c>
      <c r="L800" t="s">
        <v>26</v>
      </c>
      <c r="M800" t="s">
        <v>251</v>
      </c>
      <c r="N800">
        <f>SalesTable[[#This Row],[الكمية]]*SalesTable[[#This Row],[سعر الوحدة]]</f>
        <v>22400</v>
      </c>
      <c r="O800">
        <f>SalesTable[[#This Row],[الكمية]]*SalesTable[[#This Row],[سعر الوحدة]]*(1-SalesTable[[#This Row],[الخصم]])</f>
        <v>19040</v>
      </c>
    </row>
    <row r="801" spans="1:15" x14ac:dyDescent="0.3">
      <c r="A801">
        <v>10800</v>
      </c>
      <c r="B801" t="s">
        <v>44</v>
      </c>
      <c r="C801" s="3">
        <v>46185</v>
      </c>
      <c r="D801" t="s">
        <v>37</v>
      </c>
      <c r="E801" t="s">
        <v>23</v>
      </c>
      <c r="F801" t="s">
        <v>59</v>
      </c>
      <c r="G801" t="s">
        <v>105</v>
      </c>
      <c r="H801">
        <v>8</v>
      </c>
      <c r="I801">
        <v>32000</v>
      </c>
      <c r="J801">
        <v>0.03</v>
      </c>
      <c r="K801" t="s">
        <v>33</v>
      </c>
      <c r="L801" t="s">
        <v>26</v>
      </c>
      <c r="M801" t="s">
        <v>251</v>
      </c>
      <c r="N801">
        <f>SalesTable[[#This Row],[الكمية]]*SalesTable[[#This Row],[سعر الوحدة]]</f>
        <v>256000</v>
      </c>
      <c r="O801">
        <f>SalesTable[[#This Row],[الكمية]]*SalesTable[[#This Row],[سعر الوحدة]]*(1-SalesTable[[#This Row],[الخصم]])</f>
        <v>248320</v>
      </c>
    </row>
    <row r="802" spans="1:15" x14ac:dyDescent="0.3">
      <c r="A802">
        <v>10801</v>
      </c>
      <c r="B802" t="s">
        <v>52</v>
      </c>
      <c r="C802" s="3">
        <v>46207</v>
      </c>
      <c r="D802" t="s">
        <v>104</v>
      </c>
      <c r="E802" t="s">
        <v>23</v>
      </c>
      <c r="F802" t="s">
        <v>49</v>
      </c>
      <c r="G802" t="s">
        <v>50</v>
      </c>
      <c r="H802">
        <v>3</v>
      </c>
      <c r="I802">
        <v>28000</v>
      </c>
      <c r="J802">
        <v>7.0000000000000007E-2</v>
      </c>
      <c r="K802" t="s">
        <v>33</v>
      </c>
      <c r="L802" t="s">
        <v>34</v>
      </c>
      <c r="M802" t="s">
        <v>301</v>
      </c>
      <c r="N802">
        <f>SalesTable[[#This Row],[الكمية]]*SalesTable[[#This Row],[سعر الوحدة]]</f>
        <v>84000</v>
      </c>
      <c r="O802">
        <f>SalesTable[[#This Row],[الكمية]]*SalesTable[[#This Row],[سعر الوحدة]]*(1-SalesTable[[#This Row],[الخصم]])</f>
        <v>78120</v>
      </c>
    </row>
    <row r="803" spans="1:15" x14ac:dyDescent="0.3">
      <c r="A803">
        <v>10802</v>
      </c>
      <c r="B803" t="s">
        <v>112</v>
      </c>
      <c r="C803" s="3">
        <v>46184</v>
      </c>
      <c r="D803" t="s">
        <v>95</v>
      </c>
      <c r="E803" t="s">
        <v>15</v>
      </c>
      <c r="F803" t="s">
        <v>87</v>
      </c>
      <c r="G803" t="s">
        <v>103</v>
      </c>
      <c r="H803">
        <v>6</v>
      </c>
      <c r="I803">
        <v>5200</v>
      </c>
      <c r="J803">
        <v>7.0000000000000007E-2</v>
      </c>
      <c r="K803" t="s">
        <v>33</v>
      </c>
      <c r="L803" t="s">
        <v>26</v>
      </c>
      <c r="M803" t="s">
        <v>349</v>
      </c>
      <c r="N803">
        <f>SalesTable[[#This Row],[الكمية]]*SalesTable[[#This Row],[سعر الوحدة]]</f>
        <v>31200</v>
      </c>
      <c r="O803">
        <f>SalesTable[[#This Row],[الكمية]]*SalesTable[[#This Row],[سعر الوحدة]]*(1-SalesTable[[#This Row],[الخصم]])</f>
        <v>29015.999999999996</v>
      </c>
    </row>
    <row r="804" spans="1:15" x14ac:dyDescent="0.3">
      <c r="A804">
        <v>10803</v>
      </c>
      <c r="B804" t="s">
        <v>28</v>
      </c>
      <c r="C804" s="3">
        <v>46140</v>
      </c>
      <c r="D804" t="s">
        <v>68</v>
      </c>
      <c r="E804" t="s">
        <v>46</v>
      </c>
      <c r="F804" t="s">
        <v>59</v>
      </c>
      <c r="G804" t="s">
        <v>60</v>
      </c>
      <c r="H804">
        <v>4</v>
      </c>
      <c r="I804">
        <v>1400</v>
      </c>
      <c r="J804">
        <v>0.03</v>
      </c>
      <c r="K804" t="s">
        <v>55</v>
      </c>
      <c r="L804" t="s">
        <v>19</v>
      </c>
      <c r="M804" t="s">
        <v>150</v>
      </c>
      <c r="N804">
        <f>SalesTable[[#This Row],[الكمية]]*SalesTable[[#This Row],[سعر الوحدة]]</f>
        <v>5600</v>
      </c>
      <c r="O804">
        <f>SalesTable[[#This Row],[الكمية]]*SalesTable[[#This Row],[سعر الوحدة]]*(1-SalesTable[[#This Row],[الخصم]])</f>
        <v>5432</v>
      </c>
    </row>
    <row r="805" spans="1:15" x14ac:dyDescent="0.3">
      <c r="A805">
        <v>10804</v>
      </c>
      <c r="B805" t="s">
        <v>62</v>
      </c>
      <c r="C805" s="3">
        <v>46043</v>
      </c>
      <c r="D805" t="s">
        <v>110</v>
      </c>
      <c r="E805" t="s">
        <v>46</v>
      </c>
      <c r="F805" t="s">
        <v>64</v>
      </c>
      <c r="G805" t="s">
        <v>65</v>
      </c>
      <c r="H805">
        <v>7</v>
      </c>
      <c r="I805">
        <v>450</v>
      </c>
      <c r="J805">
        <v>0</v>
      </c>
      <c r="K805" t="s">
        <v>33</v>
      </c>
      <c r="L805" t="s">
        <v>34</v>
      </c>
      <c r="M805" t="s">
        <v>356</v>
      </c>
      <c r="N805">
        <f>SalesTable[[#This Row],[الكمية]]*SalesTable[[#This Row],[سعر الوحدة]]</f>
        <v>3150</v>
      </c>
      <c r="O805">
        <f>SalesTable[[#This Row],[الكمية]]*SalesTable[[#This Row],[سعر الوحدة]]*(1-SalesTable[[#This Row],[الخصم]])</f>
        <v>3150</v>
      </c>
    </row>
    <row r="806" spans="1:15" x14ac:dyDescent="0.3">
      <c r="A806">
        <v>10805</v>
      </c>
      <c r="B806" t="s">
        <v>112</v>
      </c>
      <c r="C806" s="3">
        <v>46086</v>
      </c>
      <c r="D806" t="s">
        <v>48</v>
      </c>
      <c r="E806" t="s">
        <v>30</v>
      </c>
      <c r="F806" t="s">
        <v>59</v>
      </c>
      <c r="G806" t="s">
        <v>105</v>
      </c>
      <c r="H806">
        <v>2</v>
      </c>
      <c r="I806">
        <v>9000</v>
      </c>
      <c r="J806">
        <v>0.15</v>
      </c>
      <c r="K806" t="s">
        <v>38</v>
      </c>
      <c r="L806" t="s">
        <v>19</v>
      </c>
      <c r="M806" t="s">
        <v>162</v>
      </c>
      <c r="N806">
        <f>SalesTable[[#This Row],[الكمية]]*SalesTable[[#This Row],[سعر الوحدة]]</f>
        <v>18000</v>
      </c>
      <c r="O806">
        <f>SalesTable[[#This Row],[الكمية]]*SalesTable[[#This Row],[سعر الوحدة]]*(1-SalesTable[[#This Row],[الخصم]])</f>
        <v>15300</v>
      </c>
    </row>
    <row r="807" spans="1:15" x14ac:dyDescent="0.3">
      <c r="A807">
        <v>10806</v>
      </c>
      <c r="B807" t="s">
        <v>21</v>
      </c>
      <c r="C807" s="3">
        <v>46162</v>
      </c>
      <c r="D807" t="s">
        <v>68</v>
      </c>
      <c r="E807" t="s">
        <v>46</v>
      </c>
      <c r="F807" t="s">
        <v>87</v>
      </c>
      <c r="G807" t="s">
        <v>101</v>
      </c>
      <c r="H807">
        <v>3</v>
      </c>
      <c r="I807">
        <v>1400</v>
      </c>
      <c r="J807">
        <v>0.15</v>
      </c>
      <c r="K807" t="s">
        <v>55</v>
      </c>
      <c r="L807" t="s">
        <v>19</v>
      </c>
      <c r="M807" t="s">
        <v>258</v>
      </c>
      <c r="N807">
        <f>SalesTable[[#This Row],[الكمية]]*SalesTable[[#This Row],[سعر الوحدة]]</f>
        <v>4200</v>
      </c>
      <c r="O807">
        <f>SalesTable[[#This Row],[الكمية]]*SalesTable[[#This Row],[سعر الوحدة]]*(1-SalesTable[[#This Row],[الخصم]])</f>
        <v>3570</v>
      </c>
    </row>
    <row r="808" spans="1:15" x14ac:dyDescent="0.3">
      <c r="A808">
        <v>10807</v>
      </c>
      <c r="B808" t="s">
        <v>62</v>
      </c>
      <c r="C808" s="3">
        <v>46369</v>
      </c>
      <c r="D808" t="s">
        <v>40</v>
      </c>
      <c r="E808" t="s">
        <v>41</v>
      </c>
      <c r="F808" t="s">
        <v>64</v>
      </c>
      <c r="G808" t="s">
        <v>65</v>
      </c>
      <c r="H808">
        <v>2</v>
      </c>
      <c r="I808">
        <v>150</v>
      </c>
      <c r="J808">
        <v>0.03</v>
      </c>
      <c r="K808" t="s">
        <v>18</v>
      </c>
      <c r="L808" t="s">
        <v>34</v>
      </c>
      <c r="M808" t="s">
        <v>361</v>
      </c>
      <c r="N808">
        <f>SalesTable[[#This Row],[الكمية]]*SalesTable[[#This Row],[سعر الوحدة]]</f>
        <v>300</v>
      </c>
      <c r="O808">
        <f>SalesTable[[#This Row],[الكمية]]*SalesTable[[#This Row],[سعر الوحدة]]*(1-SalesTable[[#This Row],[الخصم]])</f>
        <v>291</v>
      </c>
    </row>
    <row r="809" spans="1:15" x14ac:dyDescent="0.3">
      <c r="A809">
        <v>10808</v>
      </c>
      <c r="B809" t="s">
        <v>44</v>
      </c>
      <c r="C809" s="3">
        <v>46188</v>
      </c>
      <c r="D809" t="s">
        <v>110</v>
      </c>
      <c r="E809" t="s">
        <v>46</v>
      </c>
      <c r="F809" t="s">
        <v>16</v>
      </c>
      <c r="G809" t="s">
        <v>189</v>
      </c>
      <c r="H809">
        <v>6</v>
      </c>
      <c r="I809">
        <v>450</v>
      </c>
      <c r="J809">
        <v>0.1</v>
      </c>
      <c r="K809" t="s">
        <v>55</v>
      </c>
      <c r="L809" t="s">
        <v>19</v>
      </c>
      <c r="M809" t="s">
        <v>157</v>
      </c>
      <c r="N809">
        <f>SalesTable[[#This Row],[الكمية]]*SalesTable[[#This Row],[سعر الوحدة]]</f>
        <v>2700</v>
      </c>
      <c r="O809">
        <f>SalesTable[[#This Row],[الكمية]]*SalesTable[[#This Row],[سعر الوحدة]]*(1-SalesTable[[#This Row],[الخصم]])</f>
        <v>2430</v>
      </c>
    </row>
    <row r="810" spans="1:15" x14ac:dyDescent="0.3">
      <c r="A810">
        <v>10809</v>
      </c>
      <c r="B810" t="s">
        <v>28</v>
      </c>
      <c r="C810" s="3">
        <v>46191</v>
      </c>
      <c r="D810" t="s">
        <v>48</v>
      </c>
      <c r="E810" t="s">
        <v>30</v>
      </c>
      <c r="F810" t="s">
        <v>59</v>
      </c>
      <c r="G810" t="s">
        <v>105</v>
      </c>
      <c r="H810">
        <v>5</v>
      </c>
      <c r="I810">
        <v>9000</v>
      </c>
      <c r="J810">
        <v>0.1</v>
      </c>
      <c r="K810" t="s">
        <v>18</v>
      </c>
      <c r="L810" t="s">
        <v>47</v>
      </c>
      <c r="M810" t="s">
        <v>342</v>
      </c>
      <c r="N810">
        <f>SalesTable[[#This Row],[الكمية]]*SalesTable[[#This Row],[سعر الوحدة]]</f>
        <v>45000</v>
      </c>
      <c r="O810">
        <f>SalesTable[[#This Row],[الكمية]]*SalesTable[[#This Row],[سعر الوحدة]]*(1-SalesTable[[#This Row],[الخصم]])</f>
        <v>40500</v>
      </c>
    </row>
    <row r="811" spans="1:15" x14ac:dyDescent="0.3">
      <c r="A811">
        <v>10810</v>
      </c>
      <c r="B811" t="s">
        <v>52</v>
      </c>
      <c r="C811" s="3">
        <v>46188</v>
      </c>
      <c r="D811" t="s">
        <v>81</v>
      </c>
      <c r="E811" t="s">
        <v>41</v>
      </c>
      <c r="F811" t="s">
        <v>64</v>
      </c>
      <c r="G811" t="s">
        <v>184</v>
      </c>
      <c r="H811">
        <v>1</v>
      </c>
      <c r="I811">
        <v>2200</v>
      </c>
      <c r="J811">
        <v>0.15</v>
      </c>
      <c r="K811" t="s">
        <v>18</v>
      </c>
      <c r="L811" t="s">
        <v>19</v>
      </c>
      <c r="M811" t="s">
        <v>335</v>
      </c>
      <c r="N811">
        <f>SalesTable[[#This Row],[الكمية]]*SalesTable[[#This Row],[سعر الوحدة]]</f>
        <v>2200</v>
      </c>
      <c r="O811">
        <f>SalesTable[[#This Row],[الكمية]]*SalesTable[[#This Row],[سعر الوحدة]]*(1-SalesTable[[#This Row],[الخصم]])</f>
        <v>1870</v>
      </c>
    </row>
    <row r="812" spans="1:15" x14ac:dyDescent="0.3">
      <c r="A812">
        <v>10811</v>
      </c>
      <c r="B812" t="s">
        <v>112</v>
      </c>
      <c r="C812" s="3">
        <v>46145</v>
      </c>
      <c r="D812" t="s">
        <v>95</v>
      </c>
      <c r="E812" t="s">
        <v>15</v>
      </c>
      <c r="F812" t="s">
        <v>84</v>
      </c>
      <c r="G812" t="s">
        <v>120</v>
      </c>
      <c r="H812">
        <v>7</v>
      </c>
      <c r="I812">
        <v>5200</v>
      </c>
      <c r="J812">
        <v>0.05</v>
      </c>
      <c r="K812" t="s">
        <v>33</v>
      </c>
      <c r="L812" t="s">
        <v>19</v>
      </c>
      <c r="M812" t="s">
        <v>296</v>
      </c>
      <c r="N812">
        <f>SalesTable[[#This Row],[الكمية]]*SalesTable[[#This Row],[سعر الوحدة]]</f>
        <v>36400</v>
      </c>
      <c r="O812">
        <f>SalesTable[[#This Row],[الكمية]]*SalesTable[[#This Row],[سعر الوحدة]]*(1-SalesTable[[#This Row],[الخصم]])</f>
        <v>34580</v>
      </c>
    </row>
    <row r="813" spans="1:15" x14ac:dyDescent="0.3">
      <c r="A813">
        <v>10812</v>
      </c>
      <c r="B813" t="s">
        <v>52</v>
      </c>
      <c r="C813" s="3">
        <v>46354</v>
      </c>
      <c r="D813" t="s">
        <v>68</v>
      </c>
      <c r="E813" t="s">
        <v>46</v>
      </c>
      <c r="F813" t="s">
        <v>31</v>
      </c>
      <c r="G813" t="s">
        <v>54</v>
      </c>
      <c r="H813">
        <v>7</v>
      </c>
      <c r="I813">
        <v>1400</v>
      </c>
      <c r="J813">
        <v>7.0000000000000007E-2</v>
      </c>
      <c r="K813" t="s">
        <v>55</v>
      </c>
      <c r="L813" t="s">
        <v>19</v>
      </c>
      <c r="M813" t="s">
        <v>231</v>
      </c>
      <c r="N813">
        <f>SalesTable[[#This Row],[الكمية]]*SalesTable[[#This Row],[سعر الوحدة]]</f>
        <v>9800</v>
      </c>
      <c r="O813">
        <f>SalesTable[[#This Row],[الكمية]]*SalesTable[[#This Row],[سعر الوحدة]]*(1-SalesTable[[#This Row],[الخصم]])</f>
        <v>9114</v>
      </c>
    </row>
    <row r="814" spans="1:15" x14ac:dyDescent="0.3">
      <c r="A814">
        <v>10813</v>
      </c>
      <c r="B814" t="s">
        <v>94</v>
      </c>
      <c r="C814" s="3">
        <v>46090</v>
      </c>
      <c r="D814" t="s">
        <v>48</v>
      </c>
      <c r="E814" t="s">
        <v>30</v>
      </c>
      <c r="F814" t="s">
        <v>84</v>
      </c>
      <c r="G814" t="s">
        <v>113</v>
      </c>
      <c r="H814">
        <v>5</v>
      </c>
      <c r="I814">
        <v>9000</v>
      </c>
      <c r="J814">
        <v>0.15</v>
      </c>
      <c r="K814" t="s">
        <v>38</v>
      </c>
      <c r="L814" t="s">
        <v>19</v>
      </c>
      <c r="M814" t="s">
        <v>182</v>
      </c>
      <c r="N814">
        <f>SalesTable[[#This Row],[الكمية]]*SalesTable[[#This Row],[سعر الوحدة]]</f>
        <v>45000</v>
      </c>
      <c r="O814">
        <f>SalesTable[[#This Row],[الكمية]]*SalesTable[[#This Row],[سعر الوحدة]]*(1-SalesTable[[#This Row],[الخصم]])</f>
        <v>38250</v>
      </c>
    </row>
    <row r="815" spans="1:15" x14ac:dyDescent="0.3">
      <c r="A815">
        <v>10814</v>
      </c>
      <c r="B815" t="s">
        <v>62</v>
      </c>
      <c r="C815" s="3">
        <v>46160</v>
      </c>
      <c r="D815" t="s">
        <v>53</v>
      </c>
      <c r="E815" t="s">
        <v>15</v>
      </c>
      <c r="F815" t="s">
        <v>31</v>
      </c>
      <c r="G815" t="s">
        <v>32</v>
      </c>
      <c r="H815">
        <v>8</v>
      </c>
      <c r="I815">
        <v>3200</v>
      </c>
      <c r="J815">
        <v>7.0000000000000007E-2</v>
      </c>
      <c r="K815" t="s">
        <v>33</v>
      </c>
      <c r="L815" t="s">
        <v>19</v>
      </c>
      <c r="M815" t="s">
        <v>20</v>
      </c>
      <c r="N815">
        <f>SalesTable[[#This Row],[الكمية]]*SalesTable[[#This Row],[سعر الوحدة]]</f>
        <v>25600</v>
      </c>
      <c r="O815">
        <f>SalesTable[[#This Row],[الكمية]]*SalesTable[[#This Row],[سعر الوحدة]]*(1-SalesTable[[#This Row],[الخصم]])</f>
        <v>23808</v>
      </c>
    </row>
    <row r="816" spans="1:15" x14ac:dyDescent="0.3">
      <c r="A816">
        <v>10815</v>
      </c>
      <c r="B816" t="s">
        <v>36</v>
      </c>
      <c r="C816" s="3">
        <v>46070</v>
      </c>
      <c r="D816" t="s">
        <v>40</v>
      </c>
      <c r="E816" t="s">
        <v>41</v>
      </c>
      <c r="F816" t="s">
        <v>49</v>
      </c>
      <c r="G816" t="s">
        <v>122</v>
      </c>
      <c r="H816">
        <v>3</v>
      </c>
      <c r="I816">
        <v>150</v>
      </c>
      <c r="J816">
        <v>7.0000000000000007E-2</v>
      </c>
      <c r="K816" t="s">
        <v>18</v>
      </c>
      <c r="L816" t="s">
        <v>34</v>
      </c>
      <c r="M816" t="s">
        <v>338</v>
      </c>
      <c r="N816">
        <f>SalesTable[[#This Row],[الكمية]]*SalesTable[[#This Row],[سعر الوحدة]]</f>
        <v>450</v>
      </c>
      <c r="O816">
        <f>SalesTable[[#This Row],[الكمية]]*SalesTable[[#This Row],[سعر الوحدة]]*(1-SalesTable[[#This Row],[الخصم]])</f>
        <v>418.5</v>
      </c>
    </row>
    <row r="817" spans="1:15" x14ac:dyDescent="0.3">
      <c r="A817">
        <v>10816</v>
      </c>
      <c r="B817" t="s">
        <v>21</v>
      </c>
      <c r="C817" s="3">
        <v>46345</v>
      </c>
      <c r="D817" t="s">
        <v>14</v>
      </c>
      <c r="E817" t="s">
        <v>15</v>
      </c>
      <c r="F817" t="s">
        <v>31</v>
      </c>
      <c r="G817" t="s">
        <v>77</v>
      </c>
      <c r="H817">
        <v>3</v>
      </c>
      <c r="I817">
        <v>650</v>
      </c>
      <c r="J817">
        <v>7.0000000000000007E-2</v>
      </c>
      <c r="K817" t="s">
        <v>18</v>
      </c>
      <c r="L817" t="s">
        <v>34</v>
      </c>
      <c r="M817" t="s">
        <v>134</v>
      </c>
      <c r="N817">
        <f>SalesTable[[#This Row],[الكمية]]*SalesTable[[#This Row],[سعر الوحدة]]</f>
        <v>1950</v>
      </c>
      <c r="O817">
        <f>SalesTable[[#This Row],[الكمية]]*SalesTable[[#This Row],[سعر الوحدة]]*(1-SalesTable[[#This Row],[الخصم]])</f>
        <v>1813.4999999999998</v>
      </c>
    </row>
    <row r="818" spans="1:15" x14ac:dyDescent="0.3">
      <c r="A818">
        <v>10817</v>
      </c>
      <c r="B818" t="s">
        <v>112</v>
      </c>
      <c r="C818" s="3">
        <v>46373</v>
      </c>
      <c r="D818" t="s">
        <v>29</v>
      </c>
      <c r="E818" t="s">
        <v>30</v>
      </c>
      <c r="F818" t="s">
        <v>16</v>
      </c>
      <c r="G818" t="s">
        <v>189</v>
      </c>
      <c r="H818">
        <v>5</v>
      </c>
      <c r="I818">
        <v>7500</v>
      </c>
      <c r="J818">
        <v>0.03</v>
      </c>
      <c r="K818" t="s">
        <v>38</v>
      </c>
      <c r="L818" t="s">
        <v>26</v>
      </c>
      <c r="M818" t="s">
        <v>362</v>
      </c>
      <c r="N818">
        <f>SalesTable[[#This Row],[الكمية]]*SalesTable[[#This Row],[سعر الوحدة]]</f>
        <v>37500</v>
      </c>
      <c r="O818">
        <f>SalesTable[[#This Row],[الكمية]]*SalesTable[[#This Row],[سعر الوحدة]]*(1-SalesTable[[#This Row],[الخصم]])</f>
        <v>36375</v>
      </c>
    </row>
    <row r="819" spans="1:15" x14ac:dyDescent="0.3">
      <c r="A819">
        <v>10818</v>
      </c>
      <c r="B819" t="s">
        <v>44</v>
      </c>
      <c r="C819" s="3">
        <v>46046</v>
      </c>
      <c r="D819" t="s">
        <v>29</v>
      </c>
      <c r="E819" t="s">
        <v>30</v>
      </c>
      <c r="F819" t="s">
        <v>87</v>
      </c>
      <c r="G819" t="s">
        <v>103</v>
      </c>
      <c r="H819">
        <v>1</v>
      </c>
      <c r="I819">
        <v>7500</v>
      </c>
      <c r="J819">
        <v>0.1</v>
      </c>
      <c r="K819" t="s">
        <v>18</v>
      </c>
      <c r="L819" t="s">
        <v>47</v>
      </c>
      <c r="M819" t="s">
        <v>161</v>
      </c>
      <c r="N819">
        <f>SalesTable[[#This Row],[الكمية]]*SalesTable[[#This Row],[سعر الوحدة]]</f>
        <v>7500</v>
      </c>
      <c r="O819">
        <f>SalesTable[[#This Row],[الكمية]]*SalesTable[[#This Row],[سعر الوحدة]]*(1-SalesTable[[#This Row],[الخصم]])</f>
        <v>6750</v>
      </c>
    </row>
    <row r="820" spans="1:15" x14ac:dyDescent="0.3">
      <c r="A820">
        <v>10819</v>
      </c>
      <c r="B820" t="s">
        <v>67</v>
      </c>
      <c r="C820" s="3">
        <v>46153</v>
      </c>
      <c r="D820" t="s">
        <v>104</v>
      </c>
      <c r="E820" t="s">
        <v>23</v>
      </c>
      <c r="F820" t="s">
        <v>59</v>
      </c>
      <c r="G820" t="s">
        <v>75</v>
      </c>
      <c r="H820">
        <v>10</v>
      </c>
      <c r="I820">
        <v>28000</v>
      </c>
      <c r="J820">
        <v>0.05</v>
      </c>
      <c r="K820" t="s">
        <v>18</v>
      </c>
      <c r="L820" t="s">
        <v>19</v>
      </c>
      <c r="M820" t="s">
        <v>319</v>
      </c>
      <c r="N820">
        <f>SalesTable[[#This Row],[الكمية]]*SalesTable[[#This Row],[سعر الوحدة]]</f>
        <v>280000</v>
      </c>
      <c r="O820">
        <f>SalesTable[[#This Row],[الكمية]]*SalesTable[[#This Row],[سعر الوحدة]]*(1-SalesTable[[#This Row],[الخصم]])</f>
        <v>266000</v>
      </c>
    </row>
    <row r="821" spans="1:15" x14ac:dyDescent="0.3">
      <c r="A821">
        <v>10820</v>
      </c>
      <c r="B821" t="s">
        <v>28</v>
      </c>
      <c r="C821" s="3">
        <v>46065</v>
      </c>
      <c r="D821" t="s">
        <v>81</v>
      </c>
      <c r="E821" t="s">
        <v>41</v>
      </c>
      <c r="F821" t="s">
        <v>59</v>
      </c>
      <c r="G821" t="s">
        <v>60</v>
      </c>
      <c r="H821">
        <v>3</v>
      </c>
      <c r="I821">
        <v>2200</v>
      </c>
      <c r="J821">
        <v>7.0000000000000007E-2</v>
      </c>
      <c r="K821" t="s">
        <v>33</v>
      </c>
      <c r="L821" t="s">
        <v>34</v>
      </c>
      <c r="M821" t="s">
        <v>252</v>
      </c>
      <c r="N821">
        <f>SalesTable[[#This Row],[الكمية]]*SalesTable[[#This Row],[سعر الوحدة]]</f>
        <v>6600</v>
      </c>
      <c r="O821">
        <f>SalesTable[[#This Row],[الكمية]]*SalesTable[[#This Row],[سعر الوحدة]]*(1-SalesTable[[#This Row],[الخصم]])</f>
        <v>6138</v>
      </c>
    </row>
    <row r="822" spans="1:15" x14ac:dyDescent="0.3">
      <c r="A822">
        <v>10821</v>
      </c>
      <c r="B822" t="s">
        <v>52</v>
      </c>
      <c r="C822" s="3">
        <v>46197</v>
      </c>
      <c r="D822" t="s">
        <v>95</v>
      </c>
      <c r="E822" t="s">
        <v>15</v>
      </c>
      <c r="F822" t="s">
        <v>59</v>
      </c>
      <c r="G822" t="s">
        <v>75</v>
      </c>
      <c r="H822">
        <v>8</v>
      </c>
      <c r="I822">
        <v>5200</v>
      </c>
      <c r="J822">
        <v>0.1</v>
      </c>
      <c r="K822" t="s">
        <v>55</v>
      </c>
      <c r="L822" t="s">
        <v>26</v>
      </c>
      <c r="M822" t="s">
        <v>254</v>
      </c>
      <c r="N822">
        <f>SalesTable[[#This Row],[الكمية]]*SalesTable[[#This Row],[سعر الوحدة]]</f>
        <v>41600</v>
      </c>
      <c r="O822">
        <f>SalesTable[[#This Row],[الكمية]]*SalesTable[[#This Row],[سعر الوحدة]]*(1-SalesTable[[#This Row],[الخصم]])</f>
        <v>37440</v>
      </c>
    </row>
    <row r="823" spans="1:15" x14ac:dyDescent="0.3">
      <c r="A823">
        <v>10822</v>
      </c>
      <c r="B823" t="s">
        <v>21</v>
      </c>
      <c r="C823" s="3">
        <v>46032</v>
      </c>
      <c r="D823" t="s">
        <v>104</v>
      </c>
      <c r="E823" t="s">
        <v>23</v>
      </c>
      <c r="F823" t="s">
        <v>87</v>
      </c>
      <c r="G823" t="s">
        <v>103</v>
      </c>
      <c r="H823">
        <v>2</v>
      </c>
      <c r="I823">
        <v>28000</v>
      </c>
      <c r="J823">
        <v>7.0000000000000007E-2</v>
      </c>
      <c r="K823" t="s">
        <v>18</v>
      </c>
      <c r="L823" t="s">
        <v>47</v>
      </c>
      <c r="M823" t="s">
        <v>331</v>
      </c>
      <c r="N823">
        <f>SalesTable[[#This Row],[الكمية]]*SalesTable[[#This Row],[سعر الوحدة]]</f>
        <v>56000</v>
      </c>
      <c r="O823">
        <f>SalesTable[[#This Row],[الكمية]]*SalesTable[[#This Row],[سعر الوحدة]]*(1-SalesTable[[#This Row],[الخصم]])</f>
        <v>52080</v>
      </c>
    </row>
    <row r="824" spans="1:15" x14ac:dyDescent="0.3">
      <c r="A824">
        <v>10823</v>
      </c>
      <c r="B824" t="s">
        <v>36</v>
      </c>
      <c r="C824" s="3">
        <v>46359</v>
      </c>
      <c r="D824" t="s">
        <v>22</v>
      </c>
      <c r="E824" t="s">
        <v>23</v>
      </c>
      <c r="F824" t="s">
        <v>64</v>
      </c>
      <c r="G824" t="s">
        <v>65</v>
      </c>
      <c r="H824">
        <v>8</v>
      </c>
      <c r="I824">
        <v>25000</v>
      </c>
      <c r="J824">
        <v>0.15</v>
      </c>
      <c r="K824" t="s">
        <v>33</v>
      </c>
      <c r="L824" t="s">
        <v>34</v>
      </c>
      <c r="M824" t="s">
        <v>243</v>
      </c>
      <c r="N824">
        <f>SalesTable[[#This Row],[الكمية]]*SalesTable[[#This Row],[سعر الوحدة]]</f>
        <v>200000</v>
      </c>
      <c r="O824">
        <f>SalesTable[[#This Row],[الكمية]]*SalesTable[[#This Row],[سعر الوحدة]]*(1-SalesTable[[#This Row],[الخصم]])</f>
        <v>170000</v>
      </c>
    </row>
    <row r="825" spans="1:15" x14ac:dyDescent="0.3">
      <c r="A825">
        <v>10824</v>
      </c>
      <c r="B825" t="s">
        <v>112</v>
      </c>
      <c r="C825" s="3">
        <v>46030</v>
      </c>
      <c r="D825" t="s">
        <v>81</v>
      </c>
      <c r="E825" t="s">
        <v>41</v>
      </c>
      <c r="F825" t="s">
        <v>84</v>
      </c>
      <c r="G825" t="s">
        <v>85</v>
      </c>
      <c r="H825">
        <v>2</v>
      </c>
      <c r="I825">
        <v>2200</v>
      </c>
      <c r="J825">
        <v>0.03</v>
      </c>
      <c r="K825" t="s">
        <v>55</v>
      </c>
      <c r="L825" t="s">
        <v>19</v>
      </c>
      <c r="M825" t="s">
        <v>366</v>
      </c>
      <c r="N825">
        <f>SalesTable[[#This Row],[الكمية]]*SalesTable[[#This Row],[سعر الوحدة]]</f>
        <v>4400</v>
      </c>
      <c r="O825">
        <f>SalesTable[[#This Row],[الكمية]]*SalesTable[[#This Row],[سعر الوحدة]]*(1-SalesTable[[#This Row],[الخصم]])</f>
        <v>4268</v>
      </c>
    </row>
    <row r="826" spans="1:15" x14ac:dyDescent="0.3">
      <c r="A826">
        <v>10825</v>
      </c>
      <c r="B826" t="s">
        <v>112</v>
      </c>
      <c r="C826" s="3">
        <v>46355</v>
      </c>
      <c r="D826" t="s">
        <v>81</v>
      </c>
      <c r="E826" t="s">
        <v>41</v>
      </c>
      <c r="F826" t="s">
        <v>31</v>
      </c>
      <c r="G826" t="s">
        <v>54</v>
      </c>
      <c r="H826">
        <v>4</v>
      </c>
      <c r="I826">
        <v>2200</v>
      </c>
      <c r="J826">
        <v>7.0000000000000007E-2</v>
      </c>
      <c r="K826" t="s">
        <v>55</v>
      </c>
      <c r="L826" t="s">
        <v>47</v>
      </c>
      <c r="M826" t="s">
        <v>100</v>
      </c>
      <c r="N826">
        <f>SalesTable[[#This Row],[الكمية]]*SalesTable[[#This Row],[سعر الوحدة]]</f>
        <v>8800</v>
      </c>
      <c r="O826">
        <f>SalesTable[[#This Row],[الكمية]]*SalesTable[[#This Row],[سعر الوحدة]]*(1-SalesTable[[#This Row],[الخصم]])</f>
        <v>8183.9999999999991</v>
      </c>
    </row>
    <row r="827" spans="1:15" x14ac:dyDescent="0.3">
      <c r="A827">
        <v>10826</v>
      </c>
      <c r="B827" t="s">
        <v>62</v>
      </c>
      <c r="C827" s="3">
        <v>46239</v>
      </c>
      <c r="D827" t="s">
        <v>45</v>
      </c>
      <c r="E827" t="s">
        <v>46</v>
      </c>
      <c r="F827" t="s">
        <v>16</v>
      </c>
      <c r="G827" t="s">
        <v>79</v>
      </c>
      <c r="H827">
        <v>8</v>
      </c>
      <c r="I827">
        <v>1200</v>
      </c>
      <c r="J827">
        <v>0.03</v>
      </c>
      <c r="K827" t="s">
        <v>18</v>
      </c>
      <c r="L827" t="s">
        <v>19</v>
      </c>
      <c r="M827" t="s">
        <v>367</v>
      </c>
      <c r="N827">
        <f>SalesTable[[#This Row],[الكمية]]*SalesTable[[#This Row],[سعر الوحدة]]</f>
        <v>9600</v>
      </c>
      <c r="O827">
        <f>SalesTable[[#This Row],[الكمية]]*SalesTable[[#This Row],[سعر الوحدة]]*(1-SalesTable[[#This Row],[الخصم]])</f>
        <v>9312</v>
      </c>
    </row>
    <row r="828" spans="1:15" x14ac:dyDescent="0.3">
      <c r="A828">
        <v>10827</v>
      </c>
      <c r="B828" t="s">
        <v>28</v>
      </c>
      <c r="C828" s="3">
        <v>46253</v>
      </c>
      <c r="D828" t="s">
        <v>90</v>
      </c>
      <c r="E828" t="s">
        <v>91</v>
      </c>
      <c r="F828" t="s">
        <v>64</v>
      </c>
      <c r="G828" t="s">
        <v>65</v>
      </c>
      <c r="H828">
        <v>8</v>
      </c>
      <c r="I828">
        <v>6500</v>
      </c>
      <c r="J828">
        <v>7.0000000000000007E-2</v>
      </c>
      <c r="K828" t="s">
        <v>55</v>
      </c>
      <c r="L828" t="s">
        <v>26</v>
      </c>
      <c r="M828" t="s">
        <v>352</v>
      </c>
      <c r="N828">
        <f>SalesTable[[#This Row],[الكمية]]*SalesTable[[#This Row],[سعر الوحدة]]</f>
        <v>52000</v>
      </c>
      <c r="O828">
        <f>SalesTable[[#This Row],[الكمية]]*SalesTable[[#This Row],[سعر الوحدة]]*(1-SalesTable[[#This Row],[الخصم]])</f>
        <v>48360</v>
      </c>
    </row>
    <row r="829" spans="1:15" x14ac:dyDescent="0.3">
      <c r="A829">
        <v>10828</v>
      </c>
      <c r="B829" t="s">
        <v>44</v>
      </c>
      <c r="C829" s="3">
        <v>46345</v>
      </c>
      <c r="D829" t="s">
        <v>95</v>
      </c>
      <c r="E829" t="s">
        <v>15</v>
      </c>
      <c r="F829" t="s">
        <v>84</v>
      </c>
      <c r="G829" t="s">
        <v>120</v>
      </c>
      <c r="H829">
        <v>6</v>
      </c>
      <c r="I829">
        <v>5200</v>
      </c>
      <c r="J829">
        <v>0</v>
      </c>
      <c r="K829" t="s">
        <v>33</v>
      </c>
      <c r="L829" t="s">
        <v>47</v>
      </c>
      <c r="M829" t="s">
        <v>127</v>
      </c>
      <c r="N829">
        <f>SalesTable[[#This Row],[الكمية]]*SalesTable[[#This Row],[سعر الوحدة]]</f>
        <v>31200</v>
      </c>
      <c r="O829">
        <f>SalesTable[[#This Row],[الكمية]]*SalesTable[[#This Row],[سعر الوحدة]]*(1-SalesTable[[#This Row],[الخصم]])</f>
        <v>31200</v>
      </c>
    </row>
    <row r="830" spans="1:15" x14ac:dyDescent="0.3">
      <c r="A830">
        <v>10829</v>
      </c>
      <c r="B830" t="s">
        <v>62</v>
      </c>
      <c r="C830" s="3">
        <v>46285</v>
      </c>
      <c r="D830" t="s">
        <v>81</v>
      </c>
      <c r="E830" t="s">
        <v>41</v>
      </c>
      <c r="F830" t="s">
        <v>87</v>
      </c>
      <c r="G830" t="s">
        <v>101</v>
      </c>
      <c r="H830">
        <v>8</v>
      </c>
      <c r="I830">
        <v>2200</v>
      </c>
      <c r="J830">
        <v>7.0000000000000007E-2</v>
      </c>
      <c r="K830" t="s">
        <v>33</v>
      </c>
      <c r="L830" t="s">
        <v>26</v>
      </c>
      <c r="M830" t="s">
        <v>368</v>
      </c>
      <c r="N830">
        <f>SalesTable[[#This Row],[الكمية]]*SalesTable[[#This Row],[سعر الوحدة]]</f>
        <v>17600</v>
      </c>
      <c r="O830">
        <f>SalesTable[[#This Row],[الكمية]]*SalesTable[[#This Row],[سعر الوحدة]]*(1-SalesTable[[#This Row],[الخصم]])</f>
        <v>16367.999999999998</v>
      </c>
    </row>
    <row r="831" spans="1:15" x14ac:dyDescent="0.3">
      <c r="A831">
        <v>10830</v>
      </c>
      <c r="B831" t="s">
        <v>21</v>
      </c>
      <c r="C831" s="3">
        <v>46055</v>
      </c>
      <c r="D831" t="s">
        <v>53</v>
      </c>
      <c r="E831" t="s">
        <v>15</v>
      </c>
      <c r="F831" t="s">
        <v>24</v>
      </c>
      <c r="G831" t="s">
        <v>42</v>
      </c>
      <c r="H831">
        <v>10</v>
      </c>
      <c r="I831">
        <v>3200</v>
      </c>
      <c r="J831">
        <v>0.05</v>
      </c>
      <c r="K831" t="s">
        <v>38</v>
      </c>
      <c r="L831" t="s">
        <v>47</v>
      </c>
      <c r="M831" t="s">
        <v>306</v>
      </c>
      <c r="N831">
        <f>SalesTable[[#This Row],[الكمية]]*SalesTable[[#This Row],[سعر الوحدة]]</f>
        <v>32000</v>
      </c>
      <c r="O831">
        <f>SalesTable[[#This Row],[الكمية]]*SalesTable[[#This Row],[سعر الوحدة]]*(1-SalesTable[[#This Row],[الخصم]])</f>
        <v>30400</v>
      </c>
    </row>
    <row r="832" spans="1:15" x14ac:dyDescent="0.3">
      <c r="A832">
        <v>10831</v>
      </c>
      <c r="B832" t="s">
        <v>36</v>
      </c>
      <c r="C832" s="3">
        <v>46033</v>
      </c>
      <c r="D832" t="s">
        <v>104</v>
      </c>
      <c r="E832" t="s">
        <v>23</v>
      </c>
      <c r="F832" t="s">
        <v>59</v>
      </c>
      <c r="G832" t="s">
        <v>75</v>
      </c>
      <c r="H832">
        <v>6</v>
      </c>
      <c r="I832">
        <v>28000</v>
      </c>
      <c r="J832">
        <v>7.0000000000000007E-2</v>
      </c>
      <c r="K832" t="s">
        <v>55</v>
      </c>
      <c r="L832" t="s">
        <v>34</v>
      </c>
      <c r="M832" t="s">
        <v>147</v>
      </c>
      <c r="N832">
        <f>SalesTable[[#This Row],[الكمية]]*SalesTable[[#This Row],[سعر الوحدة]]</f>
        <v>168000</v>
      </c>
      <c r="O832">
        <f>SalesTable[[#This Row],[الكمية]]*SalesTable[[#This Row],[سعر الوحدة]]*(1-SalesTable[[#This Row],[الخصم]])</f>
        <v>156240</v>
      </c>
    </row>
    <row r="833" spans="1:15" x14ac:dyDescent="0.3">
      <c r="A833">
        <v>10832</v>
      </c>
      <c r="B833" t="s">
        <v>13</v>
      </c>
      <c r="C833" s="3">
        <v>46323</v>
      </c>
      <c r="D833" t="s">
        <v>48</v>
      </c>
      <c r="E833" t="s">
        <v>30</v>
      </c>
      <c r="F833" t="s">
        <v>49</v>
      </c>
      <c r="G833" t="s">
        <v>98</v>
      </c>
      <c r="H833">
        <v>4</v>
      </c>
      <c r="I833">
        <v>9000</v>
      </c>
      <c r="J833">
        <v>0.1</v>
      </c>
      <c r="K833" t="s">
        <v>38</v>
      </c>
      <c r="L833" t="s">
        <v>47</v>
      </c>
      <c r="M833" t="s">
        <v>99</v>
      </c>
      <c r="N833">
        <f>SalesTable[[#This Row],[الكمية]]*SalesTable[[#This Row],[سعر الوحدة]]</f>
        <v>36000</v>
      </c>
      <c r="O833">
        <f>SalesTable[[#This Row],[الكمية]]*SalesTable[[#This Row],[سعر الوحدة]]*(1-SalesTable[[#This Row],[الخصم]])</f>
        <v>32400</v>
      </c>
    </row>
    <row r="834" spans="1:15" x14ac:dyDescent="0.3">
      <c r="A834">
        <v>10833</v>
      </c>
      <c r="B834" t="s">
        <v>67</v>
      </c>
      <c r="C834" s="3">
        <v>46264</v>
      </c>
      <c r="D834" t="s">
        <v>90</v>
      </c>
      <c r="E834" t="s">
        <v>91</v>
      </c>
      <c r="F834" t="s">
        <v>87</v>
      </c>
      <c r="G834" t="s">
        <v>103</v>
      </c>
      <c r="H834">
        <v>7</v>
      </c>
      <c r="I834">
        <v>6500</v>
      </c>
      <c r="J834">
        <v>7.0000000000000007E-2</v>
      </c>
      <c r="K834" t="s">
        <v>55</v>
      </c>
      <c r="L834" t="s">
        <v>26</v>
      </c>
      <c r="M834" t="s">
        <v>209</v>
      </c>
      <c r="N834">
        <f>SalesTable[[#This Row],[الكمية]]*SalesTable[[#This Row],[سعر الوحدة]]</f>
        <v>45500</v>
      </c>
      <c r="O834">
        <f>SalesTable[[#This Row],[الكمية]]*SalesTable[[#This Row],[سعر الوحدة]]*(1-SalesTable[[#This Row],[الخصم]])</f>
        <v>42315</v>
      </c>
    </row>
    <row r="835" spans="1:15" x14ac:dyDescent="0.3">
      <c r="A835">
        <v>10834</v>
      </c>
      <c r="B835" t="s">
        <v>13</v>
      </c>
      <c r="C835" s="3">
        <v>46103</v>
      </c>
      <c r="D835" t="s">
        <v>81</v>
      </c>
      <c r="E835" t="s">
        <v>41</v>
      </c>
      <c r="F835" t="s">
        <v>16</v>
      </c>
      <c r="G835" t="s">
        <v>189</v>
      </c>
      <c r="H835">
        <v>3</v>
      </c>
      <c r="I835">
        <v>2200</v>
      </c>
      <c r="J835">
        <v>0.03</v>
      </c>
      <c r="K835" t="s">
        <v>33</v>
      </c>
      <c r="L835" t="s">
        <v>19</v>
      </c>
      <c r="M835" t="s">
        <v>179</v>
      </c>
      <c r="N835">
        <f>SalesTable[[#This Row],[الكمية]]*SalesTable[[#This Row],[سعر الوحدة]]</f>
        <v>6600</v>
      </c>
      <c r="O835">
        <f>SalesTable[[#This Row],[الكمية]]*SalesTable[[#This Row],[سعر الوحدة]]*(1-SalesTable[[#This Row],[الخصم]])</f>
        <v>6402</v>
      </c>
    </row>
    <row r="836" spans="1:15" x14ac:dyDescent="0.3">
      <c r="A836">
        <v>10835</v>
      </c>
      <c r="B836" t="s">
        <v>28</v>
      </c>
      <c r="C836" s="3">
        <v>46032</v>
      </c>
      <c r="D836" t="s">
        <v>48</v>
      </c>
      <c r="E836" t="s">
        <v>30</v>
      </c>
      <c r="F836" t="s">
        <v>87</v>
      </c>
      <c r="G836" t="s">
        <v>101</v>
      </c>
      <c r="H836">
        <v>4</v>
      </c>
      <c r="I836">
        <v>9000</v>
      </c>
      <c r="J836">
        <v>0.1</v>
      </c>
      <c r="K836" t="s">
        <v>38</v>
      </c>
      <c r="L836" t="s">
        <v>34</v>
      </c>
      <c r="M836" t="s">
        <v>221</v>
      </c>
      <c r="N836">
        <f>SalesTable[[#This Row],[الكمية]]*SalesTable[[#This Row],[سعر الوحدة]]</f>
        <v>36000</v>
      </c>
      <c r="O836">
        <f>SalesTable[[#This Row],[الكمية]]*SalesTable[[#This Row],[سعر الوحدة]]*(1-SalesTable[[#This Row],[الخصم]])</f>
        <v>32400</v>
      </c>
    </row>
    <row r="837" spans="1:15" x14ac:dyDescent="0.3">
      <c r="A837">
        <v>10836</v>
      </c>
      <c r="B837" t="s">
        <v>44</v>
      </c>
      <c r="C837" s="3">
        <v>46195</v>
      </c>
      <c r="D837" t="s">
        <v>14</v>
      </c>
      <c r="E837" t="s">
        <v>15</v>
      </c>
      <c r="F837" t="s">
        <v>64</v>
      </c>
      <c r="G837" t="s">
        <v>184</v>
      </c>
      <c r="H837">
        <v>9</v>
      </c>
      <c r="I837">
        <v>650</v>
      </c>
      <c r="J837">
        <v>0</v>
      </c>
      <c r="K837" t="s">
        <v>33</v>
      </c>
      <c r="L837" t="s">
        <v>19</v>
      </c>
      <c r="M837" t="s">
        <v>302</v>
      </c>
      <c r="N837">
        <f>SalesTable[[#This Row],[الكمية]]*SalesTable[[#This Row],[سعر الوحدة]]</f>
        <v>5850</v>
      </c>
      <c r="O837">
        <f>SalesTable[[#This Row],[الكمية]]*SalesTable[[#This Row],[سعر الوحدة]]*(1-SalesTable[[#This Row],[الخصم]])</f>
        <v>5850</v>
      </c>
    </row>
    <row r="838" spans="1:15" x14ac:dyDescent="0.3">
      <c r="A838">
        <v>10837</v>
      </c>
      <c r="B838" t="s">
        <v>67</v>
      </c>
      <c r="C838" s="3">
        <v>46046</v>
      </c>
      <c r="D838" t="s">
        <v>104</v>
      </c>
      <c r="E838" t="s">
        <v>23</v>
      </c>
      <c r="F838" t="s">
        <v>31</v>
      </c>
      <c r="G838" t="s">
        <v>32</v>
      </c>
      <c r="H838">
        <v>5</v>
      </c>
      <c r="I838">
        <v>28000</v>
      </c>
      <c r="J838">
        <v>0.05</v>
      </c>
      <c r="K838" t="s">
        <v>38</v>
      </c>
      <c r="L838" t="s">
        <v>26</v>
      </c>
      <c r="M838" t="s">
        <v>126</v>
      </c>
      <c r="N838">
        <f>SalesTable[[#This Row],[الكمية]]*SalesTable[[#This Row],[سعر الوحدة]]</f>
        <v>140000</v>
      </c>
      <c r="O838">
        <f>SalesTable[[#This Row],[الكمية]]*SalesTable[[#This Row],[سعر الوحدة]]*(1-SalesTable[[#This Row],[الخصم]])</f>
        <v>133000</v>
      </c>
    </row>
    <row r="839" spans="1:15" x14ac:dyDescent="0.3">
      <c r="A839">
        <v>10838</v>
      </c>
      <c r="B839" t="s">
        <v>44</v>
      </c>
      <c r="C839" s="3">
        <v>46077</v>
      </c>
      <c r="D839" t="s">
        <v>95</v>
      </c>
      <c r="E839" t="s">
        <v>15</v>
      </c>
      <c r="F839" t="s">
        <v>16</v>
      </c>
      <c r="G839" t="s">
        <v>17</v>
      </c>
      <c r="H839">
        <v>8</v>
      </c>
      <c r="I839">
        <v>5200</v>
      </c>
      <c r="J839">
        <v>7.0000000000000007E-2</v>
      </c>
      <c r="K839" t="s">
        <v>18</v>
      </c>
      <c r="L839" t="s">
        <v>19</v>
      </c>
      <c r="M839" t="s">
        <v>206</v>
      </c>
      <c r="N839">
        <f>SalesTable[[#This Row],[الكمية]]*SalesTable[[#This Row],[سعر الوحدة]]</f>
        <v>41600</v>
      </c>
      <c r="O839">
        <f>SalesTable[[#This Row],[الكمية]]*SalesTable[[#This Row],[سعر الوحدة]]*(1-SalesTable[[#This Row],[الخصم]])</f>
        <v>38688</v>
      </c>
    </row>
    <row r="840" spans="1:15" x14ac:dyDescent="0.3">
      <c r="A840">
        <v>10839</v>
      </c>
      <c r="B840" t="s">
        <v>112</v>
      </c>
      <c r="C840" s="3">
        <v>46172</v>
      </c>
      <c r="D840" t="s">
        <v>104</v>
      </c>
      <c r="E840" t="s">
        <v>23</v>
      </c>
      <c r="F840" t="s">
        <v>64</v>
      </c>
      <c r="G840" t="s">
        <v>71</v>
      </c>
      <c r="H840">
        <v>4</v>
      </c>
      <c r="I840">
        <v>28000</v>
      </c>
      <c r="J840">
        <v>0.05</v>
      </c>
      <c r="K840" t="s">
        <v>33</v>
      </c>
      <c r="L840" t="s">
        <v>47</v>
      </c>
      <c r="M840" t="s">
        <v>183</v>
      </c>
      <c r="N840">
        <f>SalesTable[[#This Row],[الكمية]]*SalesTable[[#This Row],[سعر الوحدة]]</f>
        <v>112000</v>
      </c>
      <c r="O840">
        <f>SalesTable[[#This Row],[الكمية]]*SalesTable[[#This Row],[سعر الوحدة]]*(1-SalesTable[[#This Row],[الخصم]])</f>
        <v>106400</v>
      </c>
    </row>
    <row r="841" spans="1:15" x14ac:dyDescent="0.3">
      <c r="A841">
        <v>10840</v>
      </c>
      <c r="B841" t="s">
        <v>13</v>
      </c>
      <c r="C841" s="3">
        <v>46247</v>
      </c>
      <c r="D841" t="s">
        <v>37</v>
      </c>
      <c r="E841" t="s">
        <v>23</v>
      </c>
      <c r="F841" t="s">
        <v>49</v>
      </c>
      <c r="G841" t="s">
        <v>98</v>
      </c>
      <c r="H841">
        <v>3</v>
      </c>
      <c r="I841">
        <v>32000</v>
      </c>
      <c r="J841">
        <v>0</v>
      </c>
      <c r="K841" t="s">
        <v>33</v>
      </c>
      <c r="L841" t="s">
        <v>19</v>
      </c>
      <c r="M841" t="s">
        <v>369</v>
      </c>
      <c r="N841">
        <f>SalesTable[[#This Row],[الكمية]]*SalesTable[[#This Row],[سعر الوحدة]]</f>
        <v>96000</v>
      </c>
      <c r="O841">
        <f>SalesTable[[#This Row],[الكمية]]*SalesTable[[#This Row],[سعر الوحدة]]*(1-SalesTable[[#This Row],[الخصم]])</f>
        <v>96000</v>
      </c>
    </row>
    <row r="842" spans="1:15" x14ac:dyDescent="0.3">
      <c r="A842">
        <v>10841</v>
      </c>
      <c r="B842" t="s">
        <v>112</v>
      </c>
      <c r="C842" s="3">
        <v>46066</v>
      </c>
      <c r="D842" t="s">
        <v>68</v>
      </c>
      <c r="E842" t="s">
        <v>46</v>
      </c>
      <c r="F842" t="s">
        <v>59</v>
      </c>
      <c r="G842" t="s">
        <v>105</v>
      </c>
      <c r="H842">
        <v>5</v>
      </c>
      <c r="I842">
        <v>1400</v>
      </c>
      <c r="J842">
        <v>0.1</v>
      </c>
      <c r="K842" t="s">
        <v>38</v>
      </c>
      <c r="L842" t="s">
        <v>34</v>
      </c>
      <c r="M842" t="s">
        <v>179</v>
      </c>
      <c r="N842">
        <f>SalesTable[[#This Row],[الكمية]]*SalesTable[[#This Row],[سعر الوحدة]]</f>
        <v>7000</v>
      </c>
      <c r="O842">
        <f>SalesTable[[#This Row],[الكمية]]*SalesTable[[#This Row],[سعر الوحدة]]*(1-SalesTable[[#This Row],[الخصم]])</f>
        <v>6300</v>
      </c>
    </row>
    <row r="843" spans="1:15" x14ac:dyDescent="0.3">
      <c r="A843">
        <v>10842</v>
      </c>
      <c r="B843" t="s">
        <v>13</v>
      </c>
      <c r="C843" s="3">
        <v>46093</v>
      </c>
      <c r="D843" t="s">
        <v>70</v>
      </c>
      <c r="E843" t="s">
        <v>46</v>
      </c>
      <c r="F843" t="s">
        <v>31</v>
      </c>
      <c r="G843" t="s">
        <v>54</v>
      </c>
      <c r="H843">
        <v>9</v>
      </c>
      <c r="I843">
        <v>1800</v>
      </c>
      <c r="J843">
        <v>7.0000000000000007E-2</v>
      </c>
      <c r="K843" t="s">
        <v>33</v>
      </c>
      <c r="L843" t="s">
        <v>47</v>
      </c>
      <c r="M843" t="s">
        <v>154</v>
      </c>
      <c r="N843">
        <f>SalesTable[[#This Row],[الكمية]]*SalesTable[[#This Row],[سعر الوحدة]]</f>
        <v>16200</v>
      </c>
      <c r="O843">
        <f>SalesTable[[#This Row],[الكمية]]*SalesTable[[#This Row],[سعر الوحدة]]*(1-SalesTable[[#This Row],[الخصم]])</f>
        <v>15065.999999999998</v>
      </c>
    </row>
    <row r="844" spans="1:15" x14ac:dyDescent="0.3">
      <c r="A844">
        <v>10843</v>
      </c>
      <c r="B844" t="s">
        <v>62</v>
      </c>
      <c r="C844" s="3">
        <v>46097</v>
      </c>
      <c r="D844" t="s">
        <v>90</v>
      </c>
      <c r="E844" t="s">
        <v>91</v>
      </c>
      <c r="F844" t="s">
        <v>59</v>
      </c>
      <c r="G844" t="s">
        <v>75</v>
      </c>
      <c r="H844">
        <v>6</v>
      </c>
      <c r="I844">
        <v>6500</v>
      </c>
      <c r="J844">
        <v>0</v>
      </c>
      <c r="K844" t="s">
        <v>18</v>
      </c>
      <c r="L844" t="s">
        <v>19</v>
      </c>
      <c r="M844" t="s">
        <v>325</v>
      </c>
      <c r="N844">
        <f>SalesTable[[#This Row],[الكمية]]*SalesTable[[#This Row],[سعر الوحدة]]</f>
        <v>39000</v>
      </c>
      <c r="O844">
        <f>SalesTable[[#This Row],[الكمية]]*SalesTable[[#This Row],[سعر الوحدة]]*(1-SalesTable[[#This Row],[الخصم]])</f>
        <v>39000</v>
      </c>
    </row>
    <row r="845" spans="1:15" x14ac:dyDescent="0.3">
      <c r="A845">
        <v>10844</v>
      </c>
      <c r="B845" t="s">
        <v>28</v>
      </c>
      <c r="C845" s="3">
        <v>46224</v>
      </c>
      <c r="D845" t="s">
        <v>70</v>
      </c>
      <c r="E845" t="s">
        <v>46</v>
      </c>
      <c r="F845" t="s">
        <v>49</v>
      </c>
      <c r="G845" t="s">
        <v>98</v>
      </c>
      <c r="H845">
        <v>3</v>
      </c>
      <c r="I845">
        <v>1800</v>
      </c>
      <c r="J845">
        <v>7.0000000000000007E-2</v>
      </c>
      <c r="K845" t="s">
        <v>18</v>
      </c>
      <c r="L845" t="s">
        <v>26</v>
      </c>
      <c r="M845" t="s">
        <v>158</v>
      </c>
      <c r="N845">
        <f>SalesTable[[#This Row],[الكمية]]*SalesTable[[#This Row],[سعر الوحدة]]</f>
        <v>5400</v>
      </c>
      <c r="O845">
        <f>SalesTable[[#This Row],[الكمية]]*SalesTable[[#This Row],[سعر الوحدة]]*(1-SalesTable[[#This Row],[الخصم]])</f>
        <v>5022</v>
      </c>
    </row>
    <row r="846" spans="1:15" x14ac:dyDescent="0.3">
      <c r="A846">
        <v>10845</v>
      </c>
      <c r="B846" t="s">
        <v>21</v>
      </c>
      <c r="C846" s="3">
        <v>46178</v>
      </c>
      <c r="D846" t="s">
        <v>22</v>
      </c>
      <c r="E846" t="s">
        <v>23</v>
      </c>
      <c r="F846" t="s">
        <v>87</v>
      </c>
      <c r="G846" t="s">
        <v>88</v>
      </c>
      <c r="H846">
        <v>7</v>
      </c>
      <c r="I846">
        <v>25000</v>
      </c>
      <c r="J846">
        <v>0.15</v>
      </c>
      <c r="K846" t="s">
        <v>38</v>
      </c>
      <c r="L846" t="s">
        <v>34</v>
      </c>
      <c r="M846" t="s">
        <v>260</v>
      </c>
      <c r="N846">
        <f>SalesTable[[#This Row],[الكمية]]*SalesTable[[#This Row],[سعر الوحدة]]</f>
        <v>175000</v>
      </c>
      <c r="O846">
        <f>SalesTable[[#This Row],[الكمية]]*SalesTable[[#This Row],[سعر الوحدة]]*(1-SalesTable[[#This Row],[الخصم]])</f>
        <v>148750</v>
      </c>
    </row>
    <row r="847" spans="1:15" x14ac:dyDescent="0.3">
      <c r="A847">
        <v>10846</v>
      </c>
      <c r="B847" t="s">
        <v>36</v>
      </c>
      <c r="C847" s="3">
        <v>46251</v>
      </c>
      <c r="D847" t="s">
        <v>68</v>
      </c>
      <c r="E847" t="s">
        <v>46</v>
      </c>
      <c r="F847" t="s">
        <v>87</v>
      </c>
      <c r="G847" t="s">
        <v>103</v>
      </c>
      <c r="H847">
        <v>10</v>
      </c>
      <c r="I847">
        <v>1400</v>
      </c>
      <c r="J847">
        <v>0.03</v>
      </c>
      <c r="K847" t="s">
        <v>55</v>
      </c>
      <c r="L847" t="s">
        <v>47</v>
      </c>
      <c r="M847" t="s">
        <v>174</v>
      </c>
      <c r="N847">
        <f>SalesTable[[#This Row],[الكمية]]*SalesTable[[#This Row],[سعر الوحدة]]</f>
        <v>14000</v>
      </c>
      <c r="O847">
        <f>SalesTable[[#This Row],[الكمية]]*SalesTable[[#This Row],[سعر الوحدة]]*(1-SalesTable[[#This Row],[الخصم]])</f>
        <v>13580</v>
      </c>
    </row>
    <row r="848" spans="1:15" x14ac:dyDescent="0.3">
      <c r="A848">
        <v>10847</v>
      </c>
      <c r="B848" t="s">
        <v>28</v>
      </c>
      <c r="C848" s="3">
        <v>46298</v>
      </c>
      <c r="D848" t="s">
        <v>90</v>
      </c>
      <c r="E848" t="s">
        <v>91</v>
      </c>
      <c r="F848" t="s">
        <v>84</v>
      </c>
      <c r="G848" t="s">
        <v>120</v>
      </c>
      <c r="H848">
        <v>5</v>
      </c>
      <c r="I848">
        <v>6500</v>
      </c>
      <c r="J848">
        <v>0</v>
      </c>
      <c r="K848" t="s">
        <v>38</v>
      </c>
      <c r="L848" t="s">
        <v>47</v>
      </c>
      <c r="M848" t="s">
        <v>137</v>
      </c>
      <c r="N848">
        <f>SalesTable[[#This Row],[الكمية]]*SalesTable[[#This Row],[سعر الوحدة]]</f>
        <v>32500</v>
      </c>
      <c r="O848">
        <f>SalesTable[[#This Row],[الكمية]]*SalesTable[[#This Row],[سعر الوحدة]]*(1-SalesTable[[#This Row],[الخصم]])</f>
        <v>32500</v>
      </c>
    </row>
    <row r="849" spans="1:15" x14ac:dyDescent="0.3">
      <c r="A849">
        <v>10848</v>
      </c>
      <c r="B849" t="s">
        <v>21</v>
      </c>
      <c r="C849" s="3">
        <v>46182</v>
      </c>
      <c r="D849" t="s">
        <v>53</v>
      </c>
      <c r="E849" t="s">
        <v>15</v>
      </c>
      <c r="F849" t="s">
        <v>87</v>
      </c>
      <c r="G849" t="s">
        <v>101</v>
      </c>
      <c r="H849">
        <v>2</v>
      </c>
      <c r="I849">
        <v>3200</v>
      </c>
      <c r="J849">
        <v>0.1</v>
      </c>
      <c r="K849" t="s">
        <v>38</v>
      </c>
      <c r="L849" t="s">
        <v>26</v>
      </c>
      <c r="M849" t="s">
        <v>176</v>
      </c>
      <c r="N849">
        <f>SalesTable[[#This Row],[الكمية]]*SalesTable[[#This Row],[سعر الوحدة]]</f>
        <v>6400</v>
      </c>
      <c r="O849">
        <f>SalesTable[[#This Row],[الكمية]]*SalesTable[[#This Row],[سعر الوحدة]]*(1-SalesTable[[#This Row],[الخصم]])</f>
        <v>5760</v>
      </c>
    </row>
    <row r="850" spans="1:15" x14ac:dyDescent="0.3">
      <c r="A850">
        <v>10849</v>
      </c>
      <c r="B850" t="s">
        <v>36</v>
      </c>
      <c r="C850" s="3">
        <v>46281</v>
      </c>
      <c r="D850" t="s">
        <v>22</v>
      </c>
      <c r="E850" t="s">
        <v>23</v>
      </c>
      <c r="F850" t="s">
        <v>87</v>
      </c>
      <c r="G850" t="s">
        <v>101</v>
      </c>
      <c r="H850">
        <v>5</v>
      </c>
      <c r="I850">
        <v>25000</v>
      </c>
      <c r="J850">
        <v>0.15</v>
      </c>
      <c r="K850" t="s">
        <v>18</v>
      </c>
      <c r="L850" t="s">
        <v>19</v>
      </c>
      <c r="M850" t="s">
        <v>304</v>
      </c>
      <c r="N850">
        <f>SalesTable[[#This Row],[الكمية]]*SalesTable[[#This Row],[سعر الوحدة]]</f>
        <v>125000</v>
      </c>
      <c r="O850">
        <f>SalesTable[[#This Row],[الكمية]]*SalesTable[[#This Row],[سعر الوحدة]]*(1-SalesTable[[#This Row],[الخصم]])</f>
        <v>106250</v>
      </c>
    </row>
    <row r="851" spans="1:15" x14ac:dyDescent="0.3">
      <c r="A851">
        <v>10850</v>
      </c>
      <c r="B851" t="s">
        <v>44</v>
      </c>
      <c r="C851" s="3">
        <v>46252</v>
      </c>
      <c r="D851" t="s">
        <v>110</v>
      </c>
      <c r="E851" t="s">
        <v>46</v>
      </c>
      <c r="F851" t="s">
        <v>49</v>
      </c>
      <c r="G851" t="s">
        <v>50</v>
      </c>
      <c r="H851">
        <v>1</v>
      </c>
      <c r="I851">
        <v>450</v>
      </c>
      <c r="J851">
        <v>0.15</v>
      </c>
      <c r="K851" t="s">
        <v>38</v>
      </c>
      <c r="L851" t="s">
        <v>19</v>
      </c>
      <c r="M851" t="s">
        <v>146</v>
      </c>
      <c r="N851">
        <f>SalesTable[[#This Row],[الكمية]]*SalesTable[[#This Row],[سعر الوحدة]]</f>
        <v>450</v>
      </c>
      <c r="O851">
        <f>SalesTable[[#This Row],[الكمية]]*SalesTable[[#This Row],[سعر الوحدة]]*(1-SalesTable[[#This Row],[الخصم]])</f>
        <v>382.5</v>
      </c>
    </row>
    <row r="852" spans="1:15" x14ac:dyDescent="0.3">
      <c r="A852">
        <v>10851</v>
      </c>
      <c r="B852" t="s">
        <v>21</v>
      </c>
      <c r="C852" s="3">
        <v>46327</v>
      </c>
      <c r="D852" t="s">
        <v>70</v>
      </c>
      <c r="E852" t="s">
        <v>46</v>
      </c>
      <c r="F852" t="s">
        <v>31</v>
      </c>
      <c r="G852" t="s">
        <v>77</v>
      </c>
      <c r="H852">
        <v>10</v>
      </c>
      <c r="I852">
        <v>1800</v>
      </c>
      <c r="J852">
        <v>0.1</v>
      </c>
      <c r="K852" t="s">
        <v>55</v>
      </c>
      <c r="L852" t="s">
        <v>34</v>
      </c>
      <c r="M852" t="s">
        <v>249</v>
      </c>
      <c r="N852">
        <f>SalesTable[[#This Row],[الكمية]]*SalesTable[[#This Row],[سعر الوحدة]]</f>
        <v>18000</v>
      </c>
      <c r="O852">
        <f>SalesTable[[#This Row],[الكمية]]*SalesTable[[#This Row],[سعر الوحدة]]*(1-SalesTable[[#This Row],[الخصم]])</f>
        <v>16200</v>
      </c>
    </row>
    <row r="853" spans="1:15" x14ac:dyDescent="0.3">
      <c r="A853">
        <v>10852</v>
      </c>
      <c r="B853" t="s">
        <v>13</v>
      </c>
      <c r="C853" s="3">
        <v>46076</v>
      </c>
      <c r="D853" t="s">
        <v>110</v>
      </c>
      <c r="E853" t="s">
        <v>46</v>
      </c>
      <c r="F853" t="s">
        <v>64</v>
      </c>
      <c r="G853" t="s">
        <v>65</v>
      </c>
      <c r="H853">
        <v>9</v>
      </c>
      <c r="I853">
        <v>450</v>
      </c>
      <c r="J853">
        <v>0.15</v>
      </c>
      <c r="K853" t="s">
        <v>38</v>
      </c>
      <c r="L853" t="s">
        <v>26</v>
      </c>
      <c r="M853" t="s">
        <v>243</v>
      </c>
      <c r="N853">
        <f>SalesTable[[#This Row],[الكمية]]*SalesTable[[#This Row],[سعر الوحدة]]</f>
        <v>4050</v>
      </c>
      <c r="O853">
        <f>SalesTable[[#This Row],[الكمية]]*SalesTable[[#This Row],[سعر الوحدة]]*(1-SalesTable[[#This Row],[الخصم]])</f>
        <v>3442.5</v>
      </c>
    </row>
    <row r="854" spans="1:15" x14ac:dyDescent="0.3">
      <c r="A854">
        <v>10853</v>
      </c>
      <c r="B854" t="s">
        <v>44</v>
      </c>
      <c r="C854" s="3">
        <v>46070</v>
      </c>
      <c r="D854" t="s">
        <v>48</v>
      </c>
      <c r="E854" t="s">
        <v>30</v>
      </c>
      <c r="F854" t="s">
        <v>16</v>
      </c>
      <c r="G854" t="s">
        <v>96</v>
      </c>
      <c r="H854">
        <v>7</v>
      </c>
      <c r="I854">
        <v>9000</v>
      </c>
      <c r="J854">
        <v>7.0000000000000007E-2</v>
      </c>
      <c r="K854" t="s">
        <v>18</v>
      </c>
      <c r="L854" t="s">
        <v>47</v>
      </c>
      <c r="M854" t="s">
        <v>314</v>
      </c>
      <c r="N854">
        <f>SalesTable[[#This Row],[الكمية]]*SalesTable[[#This Row],[سعر الوحدة]]</f>
        <v>63000</v>
      </c>
      <c r="O854">
        <f>SalesTable[[#This Row],[الكمية]]*SalesTable[[#This Row],[سعر الوحدة]]*(1-SalesTable[[#This Row],[الخصم]])</f>
        <v>58589.999999999993</v>
      </c>
    </row>
    <row r="855" spans="1:15" x14ac:dyDescent="0.3">
      <c r="A855">
        <v>10854</v>
      </c>
      <c r="B855" t="s">
        <v>21</v>
      </c>
      <c r="C855" s="3">
        <v>46229</v>
      </c>
      <c r="D855" t="s">
        <v>48</v>
      </c>
      <c r="E855" t="s">
        <v>30</v>
      </c>
      <c r="F855" t="s">
        <v>31</v>
      </c>
      <c r="G855" t="s">
        <v>32</v>
      </c>
      <c r="H855">
        <v>2</v>
      </c>
      <c r="I855">
        <v>9000</v>
      </c>
      <c r="J855">
        <v>0.05</v>
      </c>
      <c r="K855" t="s">
        <v>33</v>
      </c>
      <c r="L855" t="s">
        <v>34</v>
      </c>
      <c r="M855" t="s">
        <v>307</v>
      </c>
      <c r="N855">
        <f>SalesTable[[#This Row],[الكمية]]*SalesTable[[#This Row],[سعر الوحدة]]</f>
        <v>18000</v>
      </c>
      <c r="O855">
        <f>SalesTable[[#This Row],[الكمية]]*SalesTable[[#This Row],[سعر الوحدة]]*(1-SalesTable[[#This Row],[الخصم]])</f>
        <v>17100</v>
      </c>
    </row>
    <row r="856" spans="1:15" x14ac:dyDescent="0.3">
      <c r="A856">
        <v>10855</v>
      </c>
      <c r="B856" t="s">
        <v>36</v>
      </c>
      <c r="C856" s="3">
        <v>46106</v>
      </c>
      <c r="D856" t="s">
        <v>48</v>
      </c>
      <c r="E856" t="s">
        <v>30</v>
      </c>
      <c r="F856" t="s">
        <v>84</v>
      </c>
      <c r="G856" t="s">
        <v>85</v>
      </c>
      <c r="H856">
        <v>8</v>
      </c>
      <c r="I856">
        <v>9000</v>
      </c>
      <c r="J856">
        <v>0.15</v>
      </c>
      <c r="K856" t="s">
        <v>55</v>
      </c>
      <c r="L856" t="s">
        <v>26</v>
      </c>
      <c r="M856" t="s">
        <v>82</v>
      </c>
      <c r="N856">
        <f>SalesTable[[#This Row],[الكمية]]*SalesTable[[#This Row],[سعر الوحدة]]</f>
        <v>72000</v>
      </c>
      <c r="O856">
        <f>SalesTable[[#This Row],[الكمية]]*SalesTable[[#This Row],[سعر الوحدة]]*(1-SalesTable[[#This Row],[الخصم]])</f>
        <v>61200</v>
      </c>
    </row>
    <row r="857" spans="1:15" x14ac:dyDescent="0.3">
      <c r="A857">
        <v>10856</v>
      </c>
      <c r="B857" t="s">
        <v>44</v>
      </c>
      <c r="C857" s="3">
        <v>46378</v>
      </c>
      <c r="D857" t="s">
        <v>81</v>
      </c>
      <c r="E857" t="s">
        <v>41</v>
      </c>
      <c r="F857" t="s">
        <v>59</v>
      </c>
      <c r="G857" t="s">
        <v>60</v>
      </c>
      <c r="H857">
        <v>9</v>
      </c>
      <c r="I857">
        <v>2200</v>
      </c>
      <c r="J857">
        <v>0.1</v>
      </c>
      <c r="K857" t="s">
        <v>55</v>
      </c>
      <c r="L857" t="s">
        <v>47</v>
      </c>
      <c r="M857" t="s">
        <v>306</v>
      </c>
      <c r="N857">
        <f>SalesTable[[#This Row],[الكمية]]*SalesTable[[#This Row],[سعر الوحدة]]</f>
        <v>19800</v>
      </c>
      <c r="O857">
        <f>SalesTable[[#This Row],[الكمية]]*SalesTable[[#This Row],[سعر الوحدة]]*(1-SalesTable[[#This Row],[الخصم]])</f>
        <v>17820</v>
      </c>
    </row>
    <row r="858" spans="1:15" x14ac:dyDescent="0.3">
      <c r="A858">
        <v>10857</v>
      </c>
      <c r="B858" t="s">
        <v>36</v>
      </c>
      <c r="C858" s="3">
        <v>46079</v>
      </c>
      <c r="D858" t="s">
        <v>22</v>
      </c>
      <c r="E858" t="s">
        <v>23</v>
      </c>
      <c r="F858" t="s">
        <v>64</v>
      </c>
      <c r="G858" t="s">
        <v>107</v>
      </c>
      <c r="H858">
        <v>2</v>
      </c>
      <c r="I858">
        <v>25000</v>
      </c>
      <c r="J858">
        <v>0.1</v>
      </c>
      <c r="K858" t="s">
        <v>18</v>
      </c>
      <c r="L858" t="s">
        <v>34</v>
      </c>
      <c r="M858" t="s">
        <v>213</v>
      </c>
      <c r="N858">
        <f>SalesTable[[#This Row],[الكمية]]*SalesTable[[#This Row],[سعر الوحدة]]</f>
        <v>50000</v>
      </c>
      <c r="O858">
        <f>SalesTable[[#This Row],[الكمية]]*SalesTable[[#This Row],[سعر الوحدة]]*(1-SalesTable[[#This Row],[الخصم]])</f>
        <v>45000</v>
      </c>
    </row>
    <row r="859" spans="1:15" x14ac:dyDescent="0.3">
      <c r="A859">
        <v>10858</v>
      </c>
      <c r="B859" t="s">
        <v>52</v>
      </c>
      <c r="C859" s="3">
        <v>46214</v>
      </c>
      <c r="D859" t="s">
        <v>110</v>
      </c>
      <c r="E859" t="s">
        <v>46</v>
      </c>
      <c r="F859" t="s">
        <v>24</v>
      </c>
      <c r="G859" t="s">
        <v>73</v>
      </c>
      <c r="H859">
        <v>2</v>
      </c>
      <c r="I859">
        <v>450</v>
      </c>
      <c r="J859">
        <v>0.05</v>
      </c>
      <c r="K859" t="s">
        <v>38</v>
      </c>
      <c r="L859" t="s">
        <v>34</v>
      </c>
      <c r="M859" t="s">
        <v>82</v>
      </c>
      <c r="N859">
        <f>SalesTable[[#This Row],[الكمية]]*SalesTable[[#This Row],[سعر الوحدة]]</f>
        <v>900</v>
      </c>
      <c r="O859">
        <f>SalesTable[[#This Row],[الكمية]]*SalesTable[[#This Row],[سعر الوحدة]]*(1-SalesTable[[#This Row],[الخصم]])</f>
        <v>855</v>
      </c>
    </row>
    <row r="860" spans="1:15" x14ac:dyDescent="0.3">
      <c r="A860">
        <v>10859</v>
      </c>
      <c r="B860" t="s">
        <v>28</v>
      </c>
      <c r="C860" s="3">
        <v>46179</v>
      </c>
      <c r="D860" t="s">
        <v>22</v>
      </c>
      <c r="E860" t="s">
        <v>23</v>
      </c>
      <c r="F860" t="s">
        <v>64</v>
      </c>
      <c r="G860" t="s">
        <v>184</v>
      </c>
      <c r="H860">
        <v>10</v>
      </c>
      <c r="I860">
        <v>25000</v>
      </c>
      <c r="J860">
        <v>7.0000000000000007E-2</v>
      </c>
      <c r="K860" t="s">
        <v>38</v>
      </c>
      <c r="L860" t="s">
        <v>26</v>
      </c>
      <c r="M860" t="s">
        <v>297</v>
      </c>
      <c r="N860">
        <f>SalesTable[[#This Row],[الكمية]]*SalesTable[[#This Row],[سعر الوحدة]]</f>
        <v>250000</v>
      </c>
      <c r="O860">
        <f>SalesTable[[#This Row],[الكمية]]*SalesTable[[#This Row],[سعر الوحدة]]*(1-SalesTable[[#This Row],[الخصم]])</f>
        <v>232499.99999999997</v>
      </c>
    </row>
    <row r="861" spans="1:15" x14ac:dyDescent="0.3">
      <c r="A861">
        <v>10860</v>
      </c>
      <c r="B861" t="s">
        <v>67</v>
      </c>
      <c r="C861" s="3">
        <v>46057</v>
      </c>
      <c r="D861" t="s">
        <v>68</v>
      </c>
      <c r="E861" t="s">
        <v>46</v>
      </c>
      <c r="F861" t="s">
        <v>59</v>
      </c>
      <c r="G861" t="s">
        <v>60</v>
      </c>
      <c r="H861">
        <v>2</v>
      </c>
      <c r="I861">
        <v>1400</v>
      </c>
      <c r="J861">
        <v>0.1</v>
      </c>
      <c r="K861" t="s">
        <v>18</v>
      </c>
      <c r="L861" t="s">
        <v>47</v>
      </c>
      <c r="M861" t="s">
        <v>326</v>
      </c>
      <c r="N861">
        <f>SalesTable[[#This Row],[الكمية]]*SalesTable[[#This Row],[سعر الوحدة]]</f>
        <v>2800</v>
      </c>
      <c r="O861">
        <f>SalesTable[[#This Row],[الكمية]]*SalesTable[[#This Row],[سعر الوحدة]]*(1-SalesTable[[#This Row],[الخصم]])</f>
        <v>2520</v>
      </c>
    </row>
    <row r="862" spans="1:15" x14ac:dyDescent="0.3">
      <c r="A862">
        <v>10861</v>
      </c>
      <c r="B862" t="s">
        <v>36</v>
      </c>
      <c r="C862" s="3">
        <v>46266</v>
      </c>
      <c r="D862" t="s">
        <v>95</v>
      </c>
      <c r="E862" t="s">
        <v>15</v>
      </c>
      <c r="F862" t="s">
        <v>87</v>
      </c>
      <c r="G862" t="s">
        <v>103</v>
      </c>
      <c r="H862">
        <v>8</v>
      </c>
      <c r="I862">
        <v>5200</v>
      </c>
      <c r="J862">
        <v>0.05</v>
      </c>
      <c r="K862" t="s">
        <v>55</v>
      </c>
      <c r="L862" t="s">
        <v>26</v>
      </c>
      <c r="M862" t="s">
        <v>129</v>
      </c>
      <c r="N862">
        <f>SalesTable[[#This Row],[الكمية]]*SalesTable[[#This Row],[سعر الوحدة]]</f>
        <v>41600</v>
      </c>
      <c r="O862">
        <f>SalesTable[[#This Row],[الكمية]]*SalesTable[[#This Row],[سعر الوحدة]]*(1-SalesTable[[#This Row],[الخصم]])</f>
        <v>39520</v>
      </c>
    </row>
    <row r="863" spans="1:15" x14ac:dyDescent="0.3">
      <c r="A863">
        <v>10862</v>
      </c>
      <c r="B863" t="s">
        <v>67</v>
      </c>
      <c r="C863" s="3">
        <v>46068</v>
      </c>
      <c r="D863" t="s">
        <v>14</v>
      </c>
      <c r="E863" t="s">
        <v>15</v>
      </c>
      <c r="F863" t="s">
        <v>59</v>
      </c>
      <c r="G863" t="s">
        <v>105</v>
      </c>
      <c r="H863">
        <v>8</v>
      </c>
      <c r="I863">
        <v>650</v>
      </c>
      <c r="J863">
        <v>0.03</v>
      </c>
      <c r="K863" t="s">
        <v>33</v>
      </c>
      <c r="L863" t="s">
        <v>47</v>
      </c>
      <c r="M863" t="s">
        <v>281</v>
      </c>
      <c r="N863">
        <f>SalesTable[[#This Row],[الكمية]]*SalesTable[[#This Row],[سعر الوحدة]]</f>
        <v>5200</v>
      </c>
      <c r="O863">
        <f>SalesTable[[#This Row],[الكمية]]*SalesTable[[#This Row],[سعر الوحدة]]*(1-SalesTable[[#This Row],[الخصم]])</f>
        <v>5044</v>
      </c>
    </row>
    <row r="864" spans="1:15" x14ac:dyDescent="0.3">
      <c r="A864">
        <v>10863</v>
      </c>
      <c r="B864" t="s">
        <v>62</v>
      </c>
      <c r="C864" s="3">
        <v>46165</v>
      </c>
      <c r="D864" t="s">
        <v>90</v>
      </c>
      <c r="E864" t="s">
        <v>91</v>
      </c>
      <c r="F864" t="s">
        <v>84</v>
      </c>
      <c r="G864" t="s">
        <v>85</v>
      </c>
      <c r="H864">
        <v>9</v>
      </c>
      <c r="I864">
        <v>6500</v>
      </c>
      <c r="J864">
        <v>0</v>
      </c>
      <c r="K864" t="s">
        <v>18</v>
      </c>
      <c r="L864" t="s">
        <v>26</v>
      </c>
      <c r="M864" t="s">
        <v>116</v>
      </c>
      <c r="N864">
        <f>SalesTable[[#This Row],[الكمية]]*SalesTable[[#This Row],[سعر الوحدة]]</f>
        <v>58500</v>
      </c>
      <c r="O864">
        <f>SalesTable[[#This Row],[الكمية]]*SalesTable[[#This Row],[سعر الوحدة]]*(1-SalesTable[[#This Row],[الخصم]])</f>
        <v>58500</v>
      </c>
    </row>
    <row r="865" spans="1:15" x14ac:dyDescent="0.3">
      <c r="A865">
        <v>10864</v>
      </c>
      <c r="B865" t="s">
        <v>21</v>
      </c>
      <c r="C865" s="3">
        <v>46066</v>
      </c>
      <c r="D865" t="s">
        <v>95</v>
      </c>
      <c r="E865" t="s">
        <v>15</v>
      </c>
      <c r="F865" t="s">
        <v>87</v>
      </c>
      <c r="G865" t="s">
        <v>103</v>
      </c>
      <c r="H865">
        <v>2</v>
      </c>
      <c r="I865">
        <v>5200</v>
      </c>
      <c r="J865">
        <v>0.15</v>
      </c>
      <c r="K865" t="s">
        <v>55</v>
      </c>
      <c r="L865" t="s">
        <v>19</v>
      </c>
      <c r="M865" t="s">
        <v>124</v>
      </c>
      <c r="N865">
        <f>SalesTable[[#This Row],[الكمية]]*SalesTable[[#This Row],[سعر الوحدة]]</f>
        <v>10400</v>
      </c>
      <c r="O865">
        <f>SalesTable[[#This Row],[الكمية]]*SalesTable[[#This Row],[سعر الوحدة]]*(1-SalesTable[[#This Row],[الخصم]])</f>
        <v>8840</v>
      </c>
    </row>
    <row r="866" spans="1:15" x14ac:dyDescent="0.3">
      <c r="A866">
        <v>10865</v>
      </c>
      <c r="B866" t="s">
        <v>44</v>
      </c>
      <c r="C866" s="3">
        <v>46360</v>
      </c>
      <c r="D866" t="s">
        <v>53</v>
      </c>
      <c r="E866" t="s">
        <v>15</v>
      </c>
      <c r="F866" t="s">
        <v>31</v>
      </c>
      <c r="G866" t="s">
        <v>32</v>
      </c>
      <c r="H866">
        <v>9</v>
      </c>
      <c r="I866">
        <v>3200</v>
      </c>
      <c r="J866">
        <v>0</v>
      </c>
      <c r="K866" t="s">
        <v>55</v>
      </c>
      <c r="L866" t="s">
        <v>19</v>
      </c>
      <c r="M866" t="s">
        <v>224</v>
      </c>
      <c r="N866">
        <f>SalesTable[[#This Row],[الكمية]]*SalesTable[[#This Row],[سعر الوحدة]]</f>
        <v>28800</v>
      </c>
      <c r="O866">
        <f>SalesTable[[#This Row],[الكمية]]*SalesTable[[#This Row],[سعر الوحدة]]*(1-SalesTable[[#This Row],[الخصم]])</f>
        <v>28800</v>
      </c>
    </row>
    <row r="867" spans="1:15" x14ac:dyDescent="0.3">
      <c r="A867">
        <v>10866</v>
      </c>
      <c r="B867" t="s">
        <v>44</v>
      </c>
      <c r="C867" s="3">
        <v>46296</v>
      </c>
      <c r="D867" t="s">
        <v>40</v>
      </c>
      <c r="E867" t="s">
        <v>41</v>
      </c>
      <c r="F867" t="s">
        <v>31</v>
      </c>
      <c r="G867" t="s">
        <v>54</v>
      </c>
      <c r="H867">
        <v>10</v>
      </c>
      <c r="I867">
        <v>150</v>
      </c>
      <c r="J867">
        <v>7.0000000000000007E-2</v>
      </c>
      <c r="K867" t="s">
        <v>38</v>
      </c>
      <c r="L867" t="s">
        <v>47</v>
      </c>
      <c r="M867" t="s">
        <v>198</v>
      </c>
      <c r="N867">
        <f>SalesTable[[#This Row],[الكمية]]*SalesTable[[#This Row],[سعر الوحدة]]</f>
        <v>1500</v>
      </c>
      <c r="O867">
        <f>SalesTable[[#This Row],[الكمية]]*SalesTable[[#This Row],[سعر الوحدة]]*(1-SalesTable[[#This Row],[الخصم]])</f>
        <v>1395</v>
      </c>
    </row>
    <row r="868" spans="1:15" x14ac:dyDescent="0.3">
      <c r="A868">
        <v>10867</v>
      </c>
      <c r="B868" t="s">
        <v>36</v>
      </c>
      <c r="C868" s="3">
        <v>46035</v>
      </c>
      <c r="D868" t="s">
        <v>48</v>
      </c>
      <c r="E868" t="s">
        <v>30</v>
      </c>
      <c r="F868" t="s">
        <v>24</v>
      </c>
      <c r="G868" t="s">
        <v>57</v>
      </c>
      <c r="H868">
        <v>7</v>
      </c>
      <c r="I868">
        <v>9000</v>
      </c>
      <c r="J868">
        <v>0.03</v>
      </c>
      <c r="K868" t="s">
        <v>38</v>
      </c>
      <c r="L868" t="s">
        <v>47</v>
      </c>
      <c r="M868" t="s">
        <v>180</v>
      </c>
      <c r="N868">
        <f>SalesTable[[#This Row],[الكمية]]*SalesTable[[#This Row],[سعر الوحدة]]</f>
        <v>63000</v>
      </c>
      <c r="O868">
        <f>SalesTable[[#This Row],[الكمية]]*SalesTable[[#This Row],[سعر الوحدة]]*(1-SalesTable[[#This Row],[الخصم]])</f>
        <v>61110</v>
      </c>
    </row>
    <row r="869" spans="1:15" x14ac:dyDescent="0.3">
      <c r="A869">
        <v>10868</v>
      </c>
      <c r="B869" t="s">
        <v>52</v>
      </c>
      <c r="C869" s="3">
        <v>46096</v>
      </c>
      <c r="D869" t="s">
        <v>104</v>
      </c>
      <c r="E869" t="s">
        <v>23</v>
      </c>
      <c r="F869" t="s">
        <v>16</v>
      </c>
      <c r="G869" t="s">
        <v>17</v>
      </c>
      <c r="H869">
        <v>9</v>
      </c>
      <c r="I869">
        <v>28000</v>
      </c>
      <c r="J869">
        <v>0.03</v>
      </c>
      <c r="K869" t="s">
        <v>55</v>
      </c>
      <c r="L869" t="s">
        <v>34</v>
      </c>
      <c r="M869" t="s">
        <v>370</v>
      </c>
      <c r="N869">
        <f>SalesTable[[#This Row],[الكمية]]*SalesTable[[#This Row],[سعر الوحدة]]</f>
        <v>252000</v>
      </c>
      <c r="O869">
        <f>SalesTable[[#This Row],[الكمية]]*SalesTable[[#This Row],[سعر الوحدة]]*(1-SalesTable[[#This Row],[الخصم]])</f>
        <v>244440</v>
      </c>
    </row>
    <row r="870" spans="1:15" x14ac:dyDescent="0.3">
      <c r="A870">
        <v>10869</v>
      </c>
      <c r="B870" t="s">
        <v>94</v>
      </c>
      <c r="C870" s="3">
        <v>46189</v>
      </c>
      <c r="D870" t="s">
        <v>37</v>
      </c>
      <c r="E870" t="s">
        <v>23</v>
      </c>
      <c r="F870" t="s">
        <v>87</v>
      </c>
      <c r="G870" t="s">
        <v>88</v>
      </c>
      <c r="H870">
        <v>3</v>
      </c>
      <c r="I870">
        <v>32000</v>
      </c>
      <c r="J870">
        <v>0</v>
      </c>
      <c r="K870" t="s">
        <v>55</v>
      </c>
      <c r="L870" t="s">
        <v>19</v>
      </c>
      <c r="M870" t="s">
        <v>92</v>
      </c>
      <c r="N870">
        <f>SalesTable[[#This Row],[الكمية]]*SalesTable[[#This Row],[سعر الوحدة]]</f>
        <v>96000</v>
      </c>
      <c r="O870">
        <f>SalesTable[[#This Row],[الكمية]]*SalesTable[[#This Row],[سعر الوحدة]]*(1-SalesTable[[#This Row],[الخصم]])</f>
        <v>96000</v>
      </c>
    </row>
    <row r="871" spans="1:15" x14ac:dyDescent="0.3">
      <c r="A871">
        <v>10870</v>
      </c>
      <c r="B871" t="s">
        <v>36</v>
      </c>
      <c r="C871" s="3">
        <v>46188</v>
      </c>
      <c r="D871" t="s">
        <v>110</v>
      </c>
      <c r="E871" t="s">
        <v>46</v>
      </c>
      <c r="F871" t="s">
        <v>84</v>
      </c>
      <c r="G871" t="s">
        <v>120</v>
      </c>
      <c r="H871">
        <v>6</v>
      </c>
      <c r="I871">
        <v>450</v>
      </c>
      <c r="J871">
        <v>0.03</v>
      </c>
      <c r="K871" t="s">
        <v>38</v>
      </c>
      <c r="L871" t="s">
        <v>47</v>
      </c>
      <c r="M871" t="s">
        <v>287</v>
      </c>
      <c r="N871">
        <f>SalesTable[[#This Row],[الكمية]]*SalesTable[[#This Row],[سعر الوحدة]]</f>
        <v>2700</v>
      </c>
      <c r="O871">
        <f>SalesTable[[#This Row],[الكمية]]*SalesTable[[#This Row],[سعر الوحدة]]*(1-SalesTable[[#This Row],[الخصم]])</f>
        <v>2619</v>
      </c>
    </row>
    <row r="872" spans="1:15" x14ac:dyDescent="0.3">
      <c r="A872">
        <v>10871</v>
      </c>
      <c r="B872" t="s">
        <v>13</v>
      </c>
      <c r="C872" s="3">
        <v>46275</v>
      </c>
      <c r="D872" t="s">
        <v>22</v>
      </c>
      <c r="E872" t="s">
        <v>23</v>
      </c>
      <c r="F872" t="s">
        <v>31</v>
      </c>
      <c r="G872" t="s">
        <v>54</v>
      </c>
      <c r="H872">
        <v>10</v>
      </c>
      <c r="I872">
        <v>25000</v>
      </c>
      <c r="J872">
        <v>0.1</v>
      </c>
      <c r="K872" t="s">
        <v>33</v>
      </c>
      <c r="L872" t="s">
        <v>19</v>
      </c>
      <c r="M872" t="s">
        <v>250</v>
      </c>
      <c r="N872">
        <f>SalesTable[[#This Row],[الكمية]]*SalesTable[[#This Row],[سعر الوحدة]]</f>
        <v>250000</v>
      </c>
      <c r="O872">
        <f>SalesTable[[#This Row],[الكمية]]*SalesTable[[#This Row],[سعر الوحدة]]*(1-SalesTable[[#This Row],[الخصم]])</f>
        <v>225000</v>
      </c>
    </row>
    <row r="873" spans="1:15" x14ac:dyDescent="0.3">
      <c r="A873">
        <v>10872</v>
      </c>
      <c r="B873" t="s">
        <v>44</v>
      </c>
      <c r="C873" s="3">
        <v>46270</v>
      </c>
      <c r="D873" t="s">
        <v>22</v>
      </c>
      <c r="E873" t="s">
        <v>23</v>
      </c>
      <c r="F873" t="s">
        <v>49</v>
      </c>
      <c r="G873" t="s">
        <v>98</v>
      </c>
      <c r="H873">
        <v>9</v>
      </c>
      <c r="I873">
        <v>25000</v>
      </c>
      <c r="J873">
        <v>7.0000000000000007E-2</v>
      </c>
      <c r="K873" t="s">
        <v>18</v>
      </c>
      <c r="L873" t="s">
        <v>47</v>
      </c>
      <c r="M873" t="s">
        <v>281</v>
      </c>
      <c r="N873">
        <f>SalesTable[[#This Row],[الكمية]]*SalesTable[[#This Row],[سعر الوحدة]]</f>
        <v>225000</v>
      </c>
      <c r="O873">
        <f>SalesTable[[#This Row],[الكمية]]*SalesTable[[#This Row],[سعر الوحدة]]*(1-SalesTable[[#This Row],[الخصم]])</f>
        <v>209250</v>
      </c>
    </row>
    <row r="874" spans="1:15" x14ac:dyDescent="0.3">
      <c r="A874">
        <v>10873</v>
      </c>
      <c r="B874" t="s">
        <v>44</v>
      </c>
      <c r="C874" s="3">
        <v>46149</v>
      </c>
      <c r="D874" t="s">
        <v>90</v>
      </c>
      <c r="E874" t="s">
        <v>91</v>
      </c>
      <c r="F874" t="s">
        <v>24</v>
      </c>
      <c r="G874" t="s">
        <v>57</v>
      </c>
      <c r="H874">
        <v>9</v>
      </c>
      <c r="I874">
        <v>6500</v>
      </c>
      <c r="J874">
        <v>0.1</v>
      </c>
      <c r="K874" t="s">
        <v>55</v>
      </c>
      <c r="L874" t="s">
        <v>34</v>
      </c>
      <c r="M874" t="s">
        <v>348</v>
      </c>
      <c r="N874">
        <f>SalesTable[[#This Row],[الكمية]]*SalesTable[[#This Row],[سعر الوحدة]]</f>
        <v>58500</v>
      </c>
      <c r="O874">
        <f>SalesTable[[#This Row],[الكمية]]*SalesTable[[#This Row],[سعر الوحدة]]*(1-SalesTable[[#This Row],[الخصم]])</f>
        <v>52650</v>
      </c>
    </row>
    <row r="875" spans="1:15" x14ac:dyDescent="0.3">
      <c r="A875">
        <v>10874</v>
      </c>
      <c r="B875" t="s">
        <v>112</v>
      </c>
      <c r="C875" s="3">
        <v>46214</v>
      </c>
      <c r="D875" t="s">
        <v>29</v>
      </c>
      <c r="E875" t="s">
        <v>30</v>
      </c>
      <c r="F875" t="s">
        <v>59</v>
      </c>
      <c r="G875" t="s">
        <v>60</v>
      </c>
      <c r="H875">
        <v>9</v>
      </c>
      <c r="I875">
        <v>7500</v>
      </c>
      <c r="J875">
        <v>0.03</v>
      </c>
      <c r="K875" t="s">
        <v>55</v>
      </c>
      <c r="L875" t="s">
        <v>26</v>
      </c>
      <c r="M875" t="s">
        <v>100</v>
      </c>
      <c r="N875">
        <f>SalesTable[[#This Row],[الكمية]]*SalesTable[[#This Row],[سعر الوحدة]]</f>
        <v>67500</v>
      </c>
      <c r="O875">
        <f>SalesTable[[#This Row],[الكمية]]*SalesTable[[#This Row],[سعر الوحدة]]*(1-SalesTable[[#This Row],[الخصم]])</f>
        <v>65475</v>
      </c>
    </row>
    <row r="876" spans="1:15" x14ac:dyDescent="0.3">
      <c r="A876">
        <v>10875</v>
      </c>
      <c r="B876" t="s">
        <v>94</v>
      </c>
      <c r="C876" s="3">
        <v>46171</v>
      </c>
      <c r="D876" t="s">
        <v>29</v>
      </c>
      <c r="E876" t="s">
        <v>30</v>
      </c>
      <c r="F876" t="s">
        <v>59</v>
      </c>
      <c r="G876" t="s">
        <v>60</v>
      </c>
      <c r="H876">
        <v>1</v>
      </c>
      <c r="I876">
        <v>7500</v>
      </c>
      <c r="J876">
        <v>7.0000000000000007E-2</v>
      </c>
      <c r="K876" t="s">
        <v>55</v>
      </c>
      <c r="L876" t="s">
        <v>19</v>
      </c>
      <c r="M876" t="s">
        <v>345</v>
      </c>
      <c r="N876">
        <f>SalesTable[[#This Row],[الكمية]]*SalesTable[[#This Row],[سعر الوحدة]]</f>
        <v>7500</v>
      </c>
      <c r="O876">
        <f>SalesTable[[#This Row],[الكمية]]*SalesTable[[#This Row],[سعر الوحدة]]*(1-SalesTable[[#This Row],[الخصم]])</f>
        <v>6974.9999999999991</v>
      </c>
    </row>
    <row r="877" spans="1:15" x14ac:dyDescent="0.3">
      <c r="A877">
        <v>10876</v>
      </c>
      <c r="B877" t="s">
        <v>36</v>
      </c>
      <c r="C877" s="3">
        <v>46202</v>
      </c>
      <c r="D877" t="s">
        <v>90</v>
      </c>
      <c r="E877" t="s">
        <v>91</v>
      </c>
      <c r="F877" t="s">
        <v>59</v>
      </c>
      <c r="G877" t="s">
        <v>105</v>
      </c>
      <c r="H877">
        <v>10</v>
      </c>
      <c r="I877">
        <v>6500</v>
      </c>
      <c r="J877">
        <v>0.05</v>
      </c>
      <c r="K877" t="s">
        <v>55</v>
      </c>
      <c r="L877" t="s">
        <v>34</v>
      </c>
      <c r="M877" t="s">
        <v>198</v>
      </c>
      <c r="N877">
        <f>SalesTable[[#This Row],[الكمية]]*SalesTable[[#This Row],[سعر الوحدة]]</f>
        <v>65000</v>
      </c>
      <c r="O877">
        <f>SalesTable[[#This Row],[الكمية]]*SalesTable[[#This Row],[سعر الوحدة]]*(1-SalesTable[[#This Row],[الخصم]])</f>
        <v>61750</v>
      </c>
    </row>
    <row r="878" spans="1:15" x14ac:dyDescent="0.3">
      <c r="A878">
        <v>10877</v>
      </c>
      <c r="B878" t="s">
        <v>44</v>
      </c>
      <c r="C878" s="3">
        <v>46094</v>
      </c>
      <c r="D878" t="s">
        <v>37</v>
      </c>
      <c r="E878" t="s">
        <v>23</v>
      </c>
      <c r="F878" t="s">
        <v>16</v>
      </c>
      <c r="G878" t="s">
        <v>79</v>
      </c>
      <c r="H878">
        <v>2</v>
      </c>
      <c r="I878">
        <v>32000</v>
      </c>
      <c r="J878">
        <v>7.0000000000000007E-2</v>
      </c>
      <c r="K878" t="s">
        <v>38</v>
      </c>
      <c r="L878" t="s">
        <v>47</v>
      </c>
      <c r="M878" t="s">
        <v>320</v>
      </c>
      <c r="N878">
        <f>SalesTable[[#This Row],[الكمية]]*SalesTable[[#This Row],[سعر الوحدة]]</f>
        <v>64000</v>
      </c>
      <c r="O878">
        <f>SalesTable[[#This Row],[الكمية]]*SalesTable[[#This Row],[سعر الوحدة]]*(1-SalesTable[[#This Row],[الخصم]])</f>
        <v>59519.999999999993</v>
      </c>
    </row>
    <row r="879" spans="1:15" x14ac:dyDescent="0.3">
      <c r="A879">
        <v>10878</v>
      </c>
      <c r="B879" t="s">
        <v>52</v>
      </c>
      <c r="C879" s="3">
        <v>46385</v>
      </c>
      <c r="D879" t="s">
        <v>95</v>
      </c>
      <c r="E879" t="s">
        <v>15</v>
      </c>
      <c r="F879" t="s">
        <v>49</v>
      </c>
      <c r="G879" t="s">
        <v>122</v>
      </c>
      <c r="H879">
        <v>6</v>
      </c>
      <c r="I879">
        <v>5200</v>
      </c>
      <c r="J879">
        <v>0.15</v>
      </c>
      <c r="K879" t="s">
        <v>33</v>
      </c>
      <c r="L879" t="s">
        <v>34</v>
      </c>
      <c r="M879" t="s">
        <v>369</v>
      </c>
      <c r="N879">
        <f>SalesTable[[#This Row],[الكمية]]*SalesTable[[#This Row],[سعر الوحدة]]</f>
        <v>31200</v>
      </c>
      <c r="O879">
        <f>SalesTable[[#This Row],[الكمية]]*SalesTable[[#This Row],[سعر الوحدة]]*(1-SalesTable[[#This Row],[الخصم]])</f>
        <v>26520</v>
      </c>
    </row>
    <row r="880" spans="1:15" x14ac:dyDescent="0.3">
      <c r="A880">
        <v>10879</v>
      </c>
      <c r="B880" t="s">
        <v>94</v>
      </c>
      <c r="C880" s="3">
        <v>46191</v>
      </c>
      <c r="D880" t="s">
        <v>14</v>
      </c>
      <c r="E880" t="s">
        <v>15</v>
      </c>
      <c r="F880" t="s">
        <v>49</v>
      </c>
      <c r="G880" t="s">
        <v>98</v>
      </c>
      <c r="H880">
        <v>4</v>
      </c>
      <c r="I880">
        <v>650</v>
      </c>
      <c r="J880">
        <v>7.0000000000000007E-2</v>
      </c>
      <c r="K880" t="s">
        <v>18</v>
      </c>
      <c r="L880" t="s">
        <v>26</v>
      </c>
      <c r="M880" t="s">
        <v>246</v>
      </c>
      <c r="N880">
        <f>SalesTable[[#This Row],[الكمية]]*SalesTable[[#This Row],[سعر الوحدة]]</f>
        <v>2600</v>
      </c>
      <c r="O880">
        <f>SalesTable[[#This Row],[الكمية]]*SalesTable[[#This Row],[سعر الوحدة]]*(1-SalesTable[[#This Row],[الخصم]])</f>
        <v>2418</v>
      </c>
    </row>
    <row r="881" spans="1:15" x14ac:dyDescent="0.3">
      <c r="A881">
        <v>10880</v>
      </c>
      <c r="B881" t="s">
        <v>112</v>
      </c>
      <c r="C881" s="3">
        <v>46234</v>
      </c>
      <c r="D881" t="s">
        <v>95</v>
      </c>
      <c r="E881" t="s">
        <v>15</v>
      </c>
      <c r="F881" t="s">
        <v>59</v>
      </c>
      <c r="G881" t="s">
        <v>60</v>
      </c>
      <c r="H881">
        <v>1</v>
      </c>
      <c r="I881">
        <v>5200</v>
      </c>
      <c r="J881">
        <v>0.15</v>
      </c>
      <c r="K881" t="s">
        <v>33</v>
      </c>
      <c r="L881" t="s">
        <v>47</v>
      </c>
      <c r="M881" t="s">
        <v>100</v>
      </c>
      <c r="N881">
        <f>SalesTable[[#This Row],[الكمية]]*SalesTable[[#This Row],[سعر الوحدة]]</f>
        <v>5200</v>
      </c>
      <c r="O881">
        <f>SalesTable[[#This Row],[الكمية]]*SalesTable[[#This Row],[سعر الوحدة]]*(1-SalesTable[[#This Row],[الخصم]])</f>
        <v>4420</v>
      </c>
    </row>
    <row r="882" spans="1:15" x14ac:dyDescent="0.3">
      <c r="A882">
        <v>10881</v>
      </c>
      <c r="B882" t="s">
        <v>44</v>
      </c>
      <c r="C882" s="3">
        <v>46203</v>
      </c>
      <c r="D882" t="s">
        <v>104</v>
      </c>
      <c r="E882" t="s">
        <v>23</v>
      </c>
      <c r="F882" t="s">
        <v>16</v>
      </c>
      <c r="G882" t="s">
        <v>17</v>
      </c>
      <c r="H882">
        <v>8</v>
      </c>
      <c r="I882">
        <v>28000</v>
      </c>
      <c r="J882">
        <v>0.15</v>
      </c>
      <c r="K882" t="s">
        <v>33</v>
      </c>
      <c r="L882" t="s">
        <v>34</v>
      </c>
      <c r="M882" t="s">
        <v>292</v>
      </c>
      <c r="N882">
        <f>SalesTable[[#This Row],[الكمية]]*SalesTable[[#This Row],[سعر الوحدة]]</f>
        <v>224000</v>
      </c>
      <c r="O882">
        <f>SalesTable[[#This Row],[الكمية]]*SalesTable[[#This Row],[سعر الوحدة]]*(1-SalesTable[[#This Row],[الخصم]])</f>
        <v>190400</v>
      </c>
    </row>
    <row r="883" spans="1:15" x14ac:dyDescent="0.3">
      <c r="A883">
        <v>10882</v>
      </c>
      <c r="B883" t="s">
        <v>13</v>
      </c>
      <c r="C883" s="3">
        <v>46250</v>
      </c>
      <c r="D883" t="s">
        <v>37</v>
      </c>
      <c r="E883" t="s">
        <v>23</v>
      </c>
      <c r="F883" t="s">
        <v>24</v>
      </c>
      <c r="G883" t="s">
        <v>25</v>
      </c>
      <c r="H883">
        <v>8</v>
      </c>
      <c r="I883">
        <v>32000</v>
      </c>
      <c r="J883">
        <v>0.05</v>
      </c>
      <c r="K883" t="s">
        <v>18</v>
      </c>
      <c r="L883" t="s">
        <v>26</v>
      </c>
      <c r="M883" t="s">
        <v>296</v>
      </c>
      <c r="N883">
        <f>SalesTable[[#This Row],[الكمية]]*SalesTable[[#This Row],[سعر الوحدة]]</f>
        <v>256000</v>
      </c>
      <c r="O883">
        <f>SalesTable[[#This Row],[الكمية]]*SalesTable[[#This Row],[سعر الوحدة]]*(1-SalesTable[[#This Row],[الخصم]])</f>
        <v>243200</v>
      </c>
    </row>
    <row r="884" spans="1:15" x14ac:dyDescent="0.3">
      <c r="A884">
        <v>10883</v>
      </c>
      <c r="B884" t="s">
        <v>44</v>
      </c>
      <c r="C884" s="3">
        <v>46337</v>
      </c>
      <c r="D884" t="s">
        <v>40</v>
      </c>
      <c r="E884" t="s">
        <v>41</v>
      </c>
      <c r="F884" t="s">
        <v>87</v>
      </c>
      <c r="G884" t="s">
        <v>103</v>
      </c>
      <c r="H884">
        <v>6</v>
      </c>
      <c r="I884">
        <v>150</v>
      </c>
      <c r="J884">
        <v>0.03</v>
      </c>
      <c r="K884" t="s">
        <v>38</v>
      </c>
      <c r="L884" t="s">
        <v>26</v>
      </c>
      <c r="M884" t="s">
        <v>281</v>
      </c>
      <c r="N884">
        <f>SalesTable[[#This Row],[الكمية]]*SalesTable[[#This Row],[سعر الوحدة]]</f>
        <v>900</v>
      </c>
      <c r="O884">
        <f>SalesTable[[#This Row],[الكمية]]*SalesTable[[#This Row],[سعر الوحدة]]*(1-SalesTable[[#This Row],[الخصم]])</f>
        <v>873</v>
      </c>
    </row>
    <row r="885" spans="1:15" x14ac:dyDescent="0.3">
      <c r="A885">
        <v>10884</v>
      </c>
      <c r="B885" t="s">
        <v>94</v>
      </c>
      <c r="C885" s="3">
        <v>46130</v>
      </c>
      <c r="D885" t="s">
        <v>48</v>
      </c>
      <c r="E885" t="s">
        <v>30</v>
      </c>
      <c r="F885" t="s">
        <v>49</v>
      </c>
      <c r="G885" t="s">
        <v>50</v>
      </c>
      <c r="H885">
        <v>5</v>
      </c>
      <c r="I885">
        <v>9000</v>
      </c>
      <c r="J885">
        <v>7.0000000000000007E-2</v>
      </c>
      <c r="K885" t="s">
        <v>18</v>
      </c>
      <c r="L885" t="s">
        <v>26</v>
      </c>
      <c r="M885" t="s">
        <v>323</v>
      </c>
      <c r="N885">
        <f>SalesTable[[#This Row],[الكمية]]*SalesTable[[#This Row],[سعر الوحدة]]</f>
        <v>45000</v>
      </c>
      <c r="O885">
        <f>SalesTable[[#This Row],[الكمية]]*SalesTable[[#This Row],[سعر الوحدة]]*(1-SalesTable[[#This Row],[الخصم]])</f>
        <v>41850</v>
      </c>
    </row>
    <row r="886" spans="1:15" x14ac:dyDescent="0.3">
      <c r="A886">
        <v>10885</v>
      </c>
      <c r="B886" t="s">
        <v>112</v>
      </c>
      <c r="C886" s="3">
        <v>46305</v>
      </c>
      <c r="D886" t="s">
        <v>104</v>
      </c>
      <c r="E886" t="s">
        <v>23</v>
      </c>
      <c r="F886" t="s">
        <v>87</v>
      </c>
      <c r="G886" t="s">
        <v>103</v>
      </c>
      <c r="H886">
        <v>9</v>
      </c>
      <c r="I886">
        <v>28000</v>
      </c>
      <c r="J886">
        <v>7.0000000000000007E-2</v>
      </c>
      <c r="K886" t="s">
        <v>55</v>
      </c>
      <c r="L886" t="s">
        <v>26</v>
      </c>
      <c r="M886" t="s">
        <v>228</v>
      </c>
      <c r="N886">
        <f>SalesTable[[#This Row],[الكمية]]*SalesTable[[#This Row],[سعر الوحدة]]</f>
        <v>252000</v>
      </c>
      <c r="O886">
        <f>SalesTable[[#This Row],[الكمية]]*SalesTable[[#This Row],[سعر الوحدة]]*(1-SalesTable[[#This Row],[الخصم]])</f>
        <v>234359.99999999997</v>
      </c>
    </row>
    <row r="887" spans="1:15" x14ac:dyDescent="0.3">
      <c r="A887">
        <v>10886</v>
      </c>
      <c r="B887" t="s">
        <v>94</v>
      </c>
      <c r="C887" s="3">
        <v>46139</v>
      </c>
      <c r="D887" t="s">
        <v>95</v>
      </c>
      <c r="E887" t="s">
        <v>15</v>
      </c>
      <c r="F887" t="s">
        <v>64</v>
      </c>
      <c r="G887" t="s">
        <v>71</v>
      </c>
      <c r="H887">
        <v>3</v>
      </c>
      <c r="I887">
        <v>5200</v>
      </c>
      <c r="J887">
        <v>0.05</v>
      </c>
      <c r="K887" t="s">
        <v>38</v>
      </c>
      <c r="L887" t="s">
        <v>26</v>
      </c>
      <c r="M887" t="s">
        <v>176</v>
      </c>
      <c r="N887">
        <f>SalesTable[[#This Row],[الكمية]]*SalesTable[[#This Row],[سعر الوحدة]]</f>
        <v>15600</v>
      </c>
      <c r="O887">
        <f>SalesTable[[#This Row],[الكمية]]*SalesTable[[#This Row],[سعر الوحدة]]*(1-SalesTable[[#This Row],[الخصم]])</f>
        <v>14820</v>
      </c>
    </row>
    <row r="888" spans="1:15" x14ac:dyDescent="0.3">
      <c r="A888">
        <v>10887</v>
      </c>
      <c r="B888" t="s">
        <v>28</v>
      </c>
      <c r="C888" s="3">
        <v>46241</v>
      </c>
      <c r="D888" t="s">
        <v>81</v>
      </c>
      <c r="E888" t="s">
        <v>41</v>
      </c>
      <c r="F888" t="s">
        <v>87</v>
      </c>
      <c r="G888" t="s">
        <v>103</v>
      </c>
      <c r="H888">
        <v>9</v>
      </c>
      <c r="I888">
        <v>2200</v>
      </c>
      <c r="J888">
        <v>7.0000000000000007E-2</v>
      </c>
      <c r="K888" t="s">
        <v>18</v>
      </c>
      <c r="L888" t="s">
        <v>34</v>
      </c>
      <c r="M888" t="s">
        <v>343</v>
      </c>
      <c r="N888">
        <f>SalesTable[[#This Row],[الكمية]]*SalesTable[[#This Row],[سعر الوحدة]]</f>
        <v>19800</v>
      </c>
      <c r="O888">
        <f>SalesTable[[#This Row],[الكمية]]*SalesTable[[#This Row],[سعر الوحدة]]*(1-SalesTable[[#This Row],[الخصم]])</f>
        <v>18414</v>
      </c>
    </row>
    <row r="889" spans="1:15" x14ac:dyDescent="0.3">
      <c r="A889">
        <v>10888</v>
      </c>
      <c r="B889" t="s">
        <v>21</v>
      </c>
      <c r="C889" s="3">
        <v>46261</v>
      </c>
      <c r="D889" t="s">
        <v>68</v>
      </c>
      <c r="E889" t="s">
        <v>46</v>
      </c>
      <c r="F889" t="s">
        <v>84</v>
      </c>
      <c r="G889" t="s">
        <v>85</v>
      </c>
      <c r="H889">
        <v>2</v>
      </c>
      <c r="I889">
        <v>1400</v>
      </c>
      <c r="J889">
        <v>0.15</v>
      </c>
      <c r="K889" t="s">
        <v>33</v>
      </c>
      <c r="L889" t="s">
        <v>34</v>
      </c>
      <c r="M889" t="s">
        <v>332</v>
      </c>
      <c r="N889">
        <f>SalesTable[[#This Row],[الكمية]]*SalesTable[[#This Row],[سعر الوحدة]]</f>
        <v>2800</v>
      </c>
      <c r="O889">
        <f>SalesTable[[#This Row],[الكمية]]*SalesTable[[#This Row],[سعر الوحدة]]*(1-SalesTable[[#This Row],[الخصم]])</f>
        <v>2380</v>
      </c>
    </row>
    <row r="890" spans="1:15" x14ac:dyDescent="0.3">
      <c r="A890">
        <v>10889</v>
      </c>
      <c r="B890" t="s">
        <v>36</v>
      </c>
      <c r="C890" s="3">
        <v>46295</v>
      </c>
      <c r="D890" t="s">
        <v>40</v>
      </c>
      <c r="E890" t="s">
        <v>41</v>
      </c>
      <c r="F890" t="s">
        <v>24</v>
      </c>
      <c r="G890" t="s">
        <v>73</v>
      </c>
      <c r="H890">
        <v>1</v>
      </c>
      <c r="I890">
        <v>150</v>
      </c>
      <c r="J890">
        <v>0.05</v>
      </c>
      <c r="K890" t="s">
        <v>33</v>
      </c>
      <c r="L890" t="s">
        <v>34</v>
      </c>
      <c r="M890" t="s">
        <v>327</v>
      </c>
      <c r="N890">
        <f>SalesTable[[#This Row],[الكمية]]*SalesTable[[#This Row],[سعر الوحدة]]</f>
        <v>150</v>
      </c>
      <c r="O890">
        <f>SalesTable[[#This Row],[الكمية]]*SalesTable[[#This Row],[سعر الوحدة]]*(1-SalesTable[[#This Row],[الخصم]])</f>
        <v>142.5</v>
      </c>
    </row>
    <row r="891" spans="1:15" x14ac:dyDescent="0.3">
      <c r="A891">
        <v>10890</v>
      </c>
      <c r="B891" t="s">
        <v>28</v>
      </c>
      <c r="C891" s="3">
        <v>46138</v>
      </c>
      <c r="D891" t="s">
        <v>29</v>
      </c>
      <c r="E891" t="s">
        <v>30</v>
      </c>
      <c r="F891" t="s">
        <v>31</v>
      </c>
      <c r="G891" t="s">
        <v>32</v>
      </c>
      <c r="H891">
        <v>2</v>
      </c>
      <c r="I891">
        <v>7500</v>
      </c>
      <c r="J891">
        <v>0.1</v>
      </c>
      <c r="K891" t="s">
        <v>33</v>
      </c>
      <c r="L891" t="s">
        <v>19</v>
      </c>
      <c r="M891" t="s">
        <v>288</v>
      </c>
      <c r="N891">
        <f>SalesTable[[#This Row],[الكمية]]*SalesTable[[#This Row],[سعر الوحدة]]</f>
        <v>15000</v>
      </c>
      <c r="O891">
        <f>SalesTable[[#This Row],[الكمية]]*SalesTable[[#This Row],[سعر الوحدة]]*(1-SalesTable[[#This Row],[الخصم]])</f>
        <v>13500</v>
      </c>
    </row>
    <row r="892" spans="1:15" x14ac:dyDescent="0.3">
      <c r="A892">
        <v>10891</v>
      </c>
      <c r="B892" t="s">
        <v>44</v>
      </c>
      <c r="C892" s="3">
        <v>46037</v>
      </c>
      <c r="D892" t="s">
        <v>45</v>
      </c>
      <c r="E892" t="s">
        <v>46</v>
      </c>
      <c r="F892" t="s">
        <v>64</v>
      </c>
      <c r="G892" t="s">
        <v>107</v>
      </c>
      <c r="H892">
        <v>5</v>
      </c>
      <c r="I892">
        <v>1200</v>
      </c>
      <c r="J892">
        <v>0</v>
      </c>
      <c r="K892" t="s">
        <v>33</v>
      </c>
      <c r="L892" t="s">
        <v>47</v>
      </c>
      <c r="M892" t="s">
        <v>116</v>
      </c>
      <c r="N892">
        <f>SalesTable[[#This Row],[الكمية]]*SalesTable[[#This Row],[سعر الوحدة]]</f>
        <v>6000</v>
      </c>
      <c r="O892">
        <f>SalesTable[[#This Row],[الكمية]]*SalesTable[[#This Row],[سعر الوحدة]]*(1-SalesTable[[#This Row],[الخصم]])</f>
        <v>6000</v>
      </c>
    </row>
    <row r="893" spans="1:15" x14ac:dyDescent="0.3">
      <c r="A893">
        <v>10892</v>
      </c>
      <c r="B893" t="s">
        <v>62</v>
      </c>
      <c r="C893" s="3">
        <v>46145</v>
      </c>
      <c r="D893" t="s">
        <v>95</v>
      </c>
      <c r="E893" t="s">
        <v>15</v>
      </c>
      <c r="F893" t="s">
        <v>49</v>
      </c>
      <c r="G893" t="s">
        <v>98</v>
      </c>
      <c r="H893">
        <v>4</v>
      </c>
      <c r="I893">
        <v>5200</v>
      </c>
      <c r="J893">
        <v>0</v>
      </c>
      <c r="K893" t="s">
        <v>38</v>
      </c>
      <c r="L893" t="s">
        <v>19</v>
      </c>
      <c r="M893" t="s">
        <v>106</v>
      </c>
      <c r="N893">
        <f>SalesTable[[#This Row],[الكمية]]*SalesTable[[#This Row],[سعر الوحدة]]</f>
        <v>20800</v>
      </c>
      <c r="O893">
        <f>SalesTable[[#This Row],[الكمية]]*SalesTable[[#This Row],[سعر الوحدة]]*(1-SalesTable[[#This Row],[الخصم]])</f>
        <v>20800</v>
      </c>
    </row>
    <row r="894" spans="1:15" x14ac:dyDescent="0.3">
      <c r="A894">
        <v>10893</v>
      </c>
      <c r="B894" t="s">
        <v>62</v>
      </c>
      <c r="C894" s="3">
        <v>46071</v>
      </c>
      <c r="D894" t="s">
        <v>53</v>
      </c>
      <c r="E894" t="s">
        <v>15</v>
      </c>
      <c r="F894" t="s">
        <v>31</v>
      </c>
      <c r="G894" t="s">
        <v>54</v>
      </c>
      <c r="H894">
        <v>10</v>
      </c>
      <c r="I894">
        <v>3200</v>
      </c>
      <c r="J894">
        <v>0.1</v>
      </c>
      <c r="K894" t="s">
        <v>33</v>
      </c>
      <c r="L894" t="s">
        <v>19</v>
      </c>
      <c r="M894" t="s">
        <v>325</v>
      </c>
      <c r="N894">
        <f>SalesTable[[#This Row],[الكمية]]*SalesTable[[#This Row],[سعر الوحدة]]</f>
        <v>32000</v>
      </c>
      <c r="O894">
        <f>SalesTable[[#This Row],[الكمية]]*SalesTable[[#This Row],[سعر الوحدة]]*(1-SalesTable[[#This Row],[الخصم]])</f>
        <v>28800</v>
      </c>
    </row>
    <row r="895" spans="1:15" x14ac:dyDescent="0.3">
      <c r="A895">
        <v>10894</v>
      </c>
      <c r="B895" t="s">
        <v>44</v>
      </c>
      <c r="C895" s="3">
        <v>46088</v>
      </c>
      <c r="D895" t="s">
        <v>22</v>
      </c>
      <c r="E895" t="s">
        <v>23</v>
      </c>
      <c r="F895" t="s">
        <v>24</v>
      </c>
      <c r="G895" t="s">
        <v>42</v>
      </c>
      <c r="H895">
        <v>6</v>
      </c>
      <c r="I895">
        <v>25000</v>
      </c>
      <c r="J895">
        <v>0.15</v>
      </c>
      <c r="K895" t="s">
        <v>18</v>
      </c>
      <c r="L895" t="s">
        <v>47</v>
      </c>
      <c r="M895" t="s">
        <v>56</v>
      </c>
      <c r="N895">
        <f>SalesTable[[#This Row],[الكمية]]*SalesTable[[#This Row],[سعر الوحدة]]</f>
        <v>150000</v>
      </c>
      <c r="O895">
        <f>SalesTable[[#This Row],[الكمية]]*SalesTable[[#This Row],[سعر الوحدة]]*(1-SalesTable[[#This Row],[الخصم]])</f>
        <v>127500</v>
      </c>
    </row>
    <row r="896" spans="1:15" x14ac:dyDescent="0.3">
      <c r="A896">
        <v>10895</v>
      </c>
      <c r="B896" t="s">
        <v>28</v>
      </c>
      <c r="C896" s="3">
        <v>46309</v>
      </c>
      <c r="D896" t="s">
        <v>110</v>
      </c>
      <c r="E896" t="s">
        <v>46</v>
      </c>
      <c r="F896" t="s">
        <v>84</v>
      </c>
      <c r="G896" t="s">
        <v>120</v>
      </c>
      <c r="H896">
        <v>2</v>
      </c>
      <c r="I896">
        <v>450</v>
      </c>
      <c r="J896">
        <v>0.15</v>
      </c>
      <c r="K896" t="s">
        <v>18</v>
      </c>
      <c r="L896" t="s">
        <v>34</v>
      </c>
      <c r="M896" t="s">
        <v>168</v>
      </c>
      <c r="N896">
        <f>SalesTable[[#This Row],[الكمية]]*SalesTable[[#This Row],[سعر الوحدة]]</f>
        <v>900</v>
      </c>
      <c r="O896">
        <f>SalesTable[[#This Row],[الكمية]]*SalesTable[[#This Row],[سعر الوحدة]]*(1-SalesTable[[#This Row],[الخصم]])</f>
        <v>765</v>
      </c>
    </row>
    <row r="897" spans="1:15" x14ac:dyDescent="0.3">
      <c r="A897">
        <v>10896</v>
      </c>
      <c r="B897" t="s">
        <v>94</v>
      </c>
      <c r="C897" s="3">
        <v>46028</v>
      </c>
      <c r="D897" t="s">
        <v>29</v>
      </c>
      <c r="E897" t="s">
        <v>30</v>
      </c>
      <c r="F897" t="s">
        <v>16</v>
      </c>
      <c r="G897" t="s">
        <v>189</v>
      </c>
      <c r="H897">
        <v>4</v>
      </c>
      <c r="I897">
        <v>7500</v>
      </c>
      <c r="J897">
        <v>0.1</v>
      </c>
      <c r="K897" t="s">
        <v>33</v>
      </c>
      <c r="L897" t="s">
        <v>47</v>
      </c>
      <c r="M897" t="s">
        <v>338</v>
      </c>
      <c r="N897">
        <f>SalesTable[[#This Row],[الكمية]]*SalesTable[[#This Row],[سعر الوحدة]]</f>
        <v>30000</v>
      </c>
      <c r="O897">
        <f>SalesTable[[#This Row],[الكمية]]*SalesTable[[#This Row],[سعر الوحدة]]*(1-SalesTable[[#This Row],[الخصم]])</f>
        <v>27000</v>
      </c>
    </row>
    <row r="898" spans="1:15" x14ac:dyDescent="0.3">
      <c r="A898">
        <v>10897</v>
      </c>
      <c r="B898" t="s">
        <v>67</v>
      </c>
      <c r="C898" s="3">
        <v>46356</v>
      </c>
      <c r="D898" t="s">
        <v>40</v>
      </c>
      <c r="E898" t="s">
        <v>41</v>
      </c>
      <c r="F898" t="s">
        <v>84</v>
      </c>
      <c r="G898" t="s">
        <v>113</v>
      </c>
      <c r="H898">
        <v>10</v>
      </c>
      <c r="I898">
        <v>150</v>
      </c>
      <c r="J898">
        <v>0</v>
      </c>
      <c r="K898" t="s">
        <v>18</v>
      </c>
      <c r="L898" t="s">
        <v>47</v>
      </c>
      <c r="M898" t="s">
        <v>332</v>
      </c>
      <c r="N898">
        <f>SalesTable[[#This Row],[الكمية]]*SalesTable[[#This Row],[سعر الوحدة]]</f>
        <v>1500</v>
      </c>
      <c r="O898">
        <f>SalesTable[[#This Row],[الكمية]]*SalesTable[[#This Row],[سعر الوحدة]]*(1-SalesTable[[#This Row],[الخصم]])</f>
        <v>1500</v>
      </c>
    </row>
    <row r="899" spans="1:15" x14ac:dyDescent="0.3">
      <c r="A899">
        <v>10898</v>
      </c>
      <c r="B899" t="s">
        <v>94</v>
      </c>
      <c r="C899" s="3">
        <v>46057</v>
      </c>
      <c r="D899" t="s">
        <v>70</v>
      </c>
      <c r="E899" t="s">
        <v>46</v>
      </c>
      <c r="F899" t="s">
        <v>31</v>
      </c>
      <c r="G899" t="s">
        <v>54</v>
      </c>
      <c r="H899">
        <v>2</v>
      </c>
      <c r="I899">
        <v>1800</v>
      </c>
      <c r="J899">
        <v>0</v>
      </c>
      <c r="K899" t="s">
        <v>55</v>
      </c>
      <c r="L899" t="s">
        <v>26</v>
      </c>
      <c r="M899" t="s">
        <v>235</v>
      </c>
      <c r="N899">
        <f>SalesTable[[#This Row],[الكمية]]*SalesTable[[#This Row],[سعر الوحدة]]</f>
        <v>3600</v>
      </c>
      <c r="O899">
        <f>SalesTable[[#This Row],[الكمية]]*SalesTable[[#This Row],[سعر الوحدة]]*(1-SalesTable[[#This Row],[الخصم]])</f>
        <v>3600</v>
      </c>
    </row>
    <row r="900" spans="1:15" x14ac:dyDescent="0.3">
      <c r="A900">
        <v>10899</v>
      </c>
      <c r="B900" t="s">
        <v>94</v>
      </c>
      <c r="C900" s="3">
        <v>46250</v>
      </c>
      <c r="D900" t="s">
        <v>110</v>
      </c>
      <c r="E900" t="s">
        <v>46</v>
      </c>
      <c r="F900" t="s">
        <v>49</v>
      </c>
      <c r="G900" t="s">
        <v>98</v>
      </c>
      <c r="H900">
        <v>8</v>
      </c>
      <c r="I900">
        <v>450</v>
      </c>
      <c r="J900">
        <v>0.15</v>
      </c>
      <c r="K900" t="s">
        <v>55</v>
      </c>
      <c r="L900" t="s">
        <v>26</v>
      </c>
      <c r="M900" t="s">
        <v>131</v>
      </c>
      <c r="N900">
        <f>SalesTable[[#This Row],[الكمية]]*SalesTable[[#This Row],[سعر الوحدة]]</f>
        <v>3600</v>
      </c>
      <c r="O900">
        <f>SalesTable[[#This Row],[الكمية]]*SalesTable[[#This Row],[سعر الوحدة]]*(1-SalesTable[[#This Row],[الخصم]])</f>
        <v>3060</v>
      </c>
    </row>
    <row r="901" spans="1:15" x14ac:dyDescent="0.3">
      <c r="A901">
        <v>10900</v>
      </c>
      <c r="B901" t="s">
        <v>94</v>
      </c>
      <c r="C901" s="3">
        <v>46246</v>
      </c>
      <c r="D901" t="s">
        <v>40</v>
      </c>
      <c r="E901" t="s">
        <v>41</v>
      </c>
      <c r="F901" t="s">
        <v>24</v>
      </c>
      <c r="G901" t="s">
        <v>25</v>
      </c>
      <c r="H901">
        <v>3</v>
      </c>
      <c r="I901">
        <v>150</v>
      </c>
      <c r="J901">
        <v>0.05</v>
      </c>
      <c r="K901" t="s">
        <v>38</v>
      </c>
      <c r="L901" t="s">
        <v>34</v>
      </c>
      <c r="M901" t="s">
        <v>61</v>
      </c>
      <c r="N901">
        <f>SalesTable[[#This Row],[الكمية]]*SalesTable[[#This Row],[سعر الوحدة]]</f>
        <v>450</v>
      </c>
      <c r="O901">
        <f>SalesTable[[#This Row],[الكمية]]*SalesTable[[#This Row],[سعر الوحدة]]*(1-SalesTable[[#This Row],[الخصم]])</f>
        <v>427.5</v>
      </c>
    </row>
    <row r="902" spans="1:15" x14ac:dyDescent="0.3">
      <c r="A902">
        <v>10901</v>
      </c>
      <c r="B902" t="s">
        <v>94</v>
      </c>
      <c r="C902" s="3">
        <v>46198</v>
      </c>
      <c r="D902" t="s">
        <v>90</v>
      </c>
      <c r="E902" t="s">
        <v>91</v>
      </c>
      <c r="F902" t="s">
        <v>64</v>
      </c>
      <c r="G902" t="s">
        <v>184</v>
      </c>
      <c r="H902">
        <v>8</v>
      </c>
      <c r="I902">
        <v>6500</v>
      </c>
      <c r="J902">
        <v>0.05</v>
      </c>
      <c r="K902" t="s">
        <v>38</v>
      </c>
      <c r="L902" t="s">
        <v>34</v>
      </c>
      <c r="M902" t="s">
        <v>260</v>
      </c>
      <c r="N902">
        <f>SalesTable[[#This Row],[الكمية]]*SalesTable[[#This Row],[سعر الوحدة]]</f>
        <v>52000</v>
      </c>
      <c r="O902">
        <f>SalesTable[[#This Row],[الكمية]]*SalesTable[[#This Row],[سعر الوحدة]]*(1-SalesTable[[#This Row],[الخصم]])</f>
        <v>49400</v>
      </c>
    </row>
    <row r="903" spans="1:15" x14ac:dyDescent="0.3">
      <c r="A903">
        <v>10902</v>
      </c>
      <c r="B903" t="s">
        <v>21</v>
      </c>
      <c r="C903" s="3">
        <v>46050</v>
      </c>
      <c r="D903" t="s">
        <v>53</v>
      </c>
      <c r="E903" t="s">
        <v>15</v>
      </c>
      <c r="F903" t="s">
        <v>64</v>
      </c>
      <c r="G903" t="s">
        <v>71</v>
      </c>
      <c r="H903">
        <v>4</v>
      </c>
      <c r="I903">
        <v>3200</v>
      </c>
      <c r="J903">
        <v>0.1</v>
      </c>
      <c r="K903" t="s">
        <v>33</v>
      </c>
      <c r="L903" t="s">
        <v>34</v>
      </c>
      <c r="M903" t="s">
        <v>230</v>
      </c>
      <c r="N903">
        <f>SalesTable[[#This Row],[الكمية]]*SalesTable[[#This Row],[سعر الوحدة]]</f>
        <v>12800</v>
      </c>
      <c r="O903">
        <f>SalesTable[[#This Row],[الكمية]]*SalesTable[[#This Row],[سعر الوحدة]]*(1-SalesTable[[#This Row],[الخصم]])</f>
        <v>11520</v>
      </c>
    </row>
    <row r="904" spans="1:15" x14ac:dyDescent="0.3">
      <c r="A904">
        <v>10903</v>
      </c>
      <c r="B904" t="s">
        <v>62</v>
      </c>
      <c r="C904" s="3">
        <v>46378</v>
      </c>
      <c r="D904" t="s">
        <v>45</v>
      </c>
      <c r="E904" t="s">
        <v>46</v>
      </c>
      <c r="F904" t="s">
        <v>31</v>
      </c>
      <c r="G904" t="s">
        <v>54</v>
      </c>
      <c r="H904">
        <v>6</v>
      </c>
      <c r="I904">
        <v>1200</v>
      </c>
      <c r="J904">
        <v>0.03</v>
      </c>
      <c r="K904" t="s">
        <v>33</v>
      </c>
      <c r="L904" t="s">
        <v>34</v>
      </c>
      <c r="M904" t="s">
        <v>358</v>
      </c>
      <c r="N904">
        <f>SalesTable[[#This Row],[الكمية]]*SalesTable[[#This Row],[سعر الوحدة]]</f>
        <v>7200</v>
      </c>
      <c r="O904">
        <f>SalesTable[[#This Row],[الكمية]]*SalesTable[[#This Row],[سعر الوحدة]]*(1-SalesTable[[#This Row],[الخصم]])</f>
        <v>6984</v>
      </c>
    </row>
    <row r="905" spans="1:15" x14ac:dyDescent="0.3">
      <c r="A905">
        <v>10904</v>
      </c>
      <c r="B905" t="s">
        <v>67</v>
      </c>
      <c r="C905" s="3">
        <v>46106</v>
      </c>
      <c r="D905" t="s">
        <v>95</v>
      </c>
      <c r="E905" t="s">
        <v>15</v>
      </c>
      <c r="F905" t="s">
        <v>49</v>
      </c>
      <c r="G905" t="s">
        <v>122</v>
      </c>
      <c r="H905">
        <v>5</v>
      </c>
      <c r="I905">
        <v>5200</v>
      </c>
      <c r="J905">
        <v>7.0000000000000007E-2</v>
      </c>
      <c r="K905" t="s">
        <v>18</v>
      </c>
      <c r="L905" t="s">
        <v>47</v>
      </c>
      <c r="M905" t="s">
        <v>109</v>
      </c>
      <c r="N905">
        <f>SalesTable[[#This Row],[الكمية]]*SalesTable[[#This Row],[سعر الوحدة]]</f>
        <v>26000</v>
      </c>
      <c r="O905">
        <f>SalesTable[[#This Row],[الكمية]]*SalesTable[[#This Row],[سعر الوحدة]]*(1-SalesTable[[#This Row],[الخصم]])</f>
        <v>24180</v>
      </c>
    </row>
    <row r="906" spans="1:15" x14ac:dyDescent="0.3">
      <c r="A906">
        <v>10905</v>
      </c>
      <c r="B906" t="s">
        <v>13</v>
      </c>
      <c r="C906" s="3">
        <v>46261</v>
      </c>
      <c r="D906" t="s">
        <v>48</v>
      </c>
      <c r="E906" t="s">
        <v>30</v>
      </c>
      <c r="F906" t="s">
        <v>31</v>
      </c>
      <c r="G906" t="s">
        <v>54</v>
      </c>
      <c r="H906">
        <v>4</v>
      </c>
      <c r="I906">
        <v>9000</v>
      </c>
      <c r="J906">
        <v>0.15</v>
      </c>
      <c r="K906" t="s">
        <v>55</v>
      </c>
      <c r="L906" t="s">
        <v>26</v>
      </c>
      <c r="M906" t="s">
        <v>326</v>
      </c>
      <c r="N906">
        <f>SalesTable[[#This Row],[الكمية]]*SalesTable[[#This Row],[سعر الوحدة]]</f>
        <v>36000</v>
      </c>
      <c r="O906">
        <f>SalesTable[[#This Row],[الكمية]]*SalesTable[[#This Row],[سعر الوحدة]]*(1-SalesTable[[#This Row],[الخصم]])</f>
        <v>30600</v>
      </c>
    </row>
    <row r="907" spans="1:15" x14ac:dyDescent="0.3">
      <c r="A907">
        <v>10906</v>
      </c>
      <c r="B907" t="s">
        <v>36</v>
      </c>
      <c r="C907" s="3">
        <v>46117</v>
      </c>
      <c r="D907" t="s">
        <v>81</v>
      </c>
      <c r="E907" t="s">
        <v>41</v>
      </c>
      <c r="F907" t="s">
        <v>49</v>
      </c>
      <c r="G907" t="s">
        <v>122</v>
      </c>
      <c r="H907">
        <v>7</v>
      </c>
      <c r="I907">
        <v>2200</v>
      </c>
      <c r="J907">
        <v>0.03</v>
      </c>
      <c r="K907" t="s">
        <v>18</v>
      </c>
      <c r="L907" t="s">
        <v>34</v>
      </c>
      <c r="M907" t="s">
        <v>329</v>
      </c>
      <c r="N907">
        <f>SalesTable[[#This Row],[الكمية]]*SalesTable[[#This Row],[سعر الوحدة]]</f>
        <v>15400</v>
      </c>
      <c r="O907">
        <f>SalesTable[[#This Row],[الكمية]]*SalesTable[[#This Row],[سعر الوحدة]]*(1-SalesTable[[#This Row],[الخصم]])</f>
        <v>14938</v>
      </c>
    </row>
    <row r="908" spans="1:15" x14ac:dyDescent="0.3">
      <c r="A908">
        <v>10907</v>
      </c>
      <c r="B908" t="s">
        <v>112</v>
      </c>
      <c r="C908" s="3">
        <v>46171</v>
      </c>
      <c r="D908" t="s">
        <v>104</v>
      </c>
      <c r="E908" t="s">
        <v>23</v>
      </c>
      <c r="F908" t="s">
        <v>49</v>
      </c>
      <c r="G908" t="s">
        <v>50</v>
      </c>
      <c r="H908">
        <v>9</v>
      </c>
      <c r="I908">
        <v>28000</v>
      </c>
      <c r="J908">
        <v>0</v>
      </c>
      <c r="K908" t="s">
        <v>33</v>
      </c>
      <c r="L908" t="s">
        <v>26</v>
      </c>
      <c r="M908" t="s">
        <v>307</v>
      </c>
      <c r="N908">
        <f>SalesTable[[#This Row],[الكمية]]*SalesTable[[#This Row],[سعر الوحدة]]</f>
        <v>252000</v>
      </c>
      <c r="O908">
        <f>SalesTable[[#This Row],[الكمية]]*SalesTable[[#This Row],[سعر الوحدة]]*(1-SalesTable[[#This Row],[الخصم]])</f>
        <v>252000</v>
      </c>
    </row>
    <row r="909" spans="1:15" x14ac:dyDescent="0.3">
      <c r="A909">
        <v>10908</v>
      </c>
      <c r="B909" t="s">
        <v>13</v>
      </c>
      <c r="C909" s="3">
        <v>46168</v>
      </c>
      <c r="D909" t="s">
        <v>90</v>
      </c>
      <c r="E909" t="s">
        <v>91</v>
      </c>
      <c r="F909" t="s">
        <v>49</v>
      </c>
      <c r="G909" t="s">
        <v>50</v>
      </c>
      <c r="H909">
        <v>1</v>
      </c>
      <c r="I909">
        <v>6500</v>
      </c>
      <c r="J909">
        <v>0.03</v>
      </c>
      <c r="K909" t="s">
        <v>55</v>
      </c>
      <c r="L909" t="s">
        <v>26</v>
      </c>
      <c r="M909" t="s">
        <v>301</v>
      </c>
      <c r="N909">
        <f>SalesTable[[#This Row],[الكمية]]*SalesTable[[#This Row],[سعر الوحدة]]</f>
        <v>6500</v>
      </c>
      <c r="O909">
        <f>SalesTable[[#This Row],[الكمية]]*SalesTable[[#This Row],[سعر الوحدة]]*(1-SalesTable[[#This Row],[الخصم]])</f>
        <v>6305</v>
      </c>
    </row>
    <row r="910" spans="1:15" x14ac:dyDescent="0.3">
      <c r="A910">
        <v>10909</v>
      </c>
      <c r="B910" t="s">
        <v>112</v>
      </c>
      <c r="C910" s="3">
        <v>46123</v>
      </c>
      <c r="D910" t="s">
        <v>81</v>
      </c>
      <c r="E910" t="s">
        <v>41</v>
      </c>
      <c r="F910" t="s">
        <v>64</v>
      </c>
      <c r="G910" t="s">
        <v>107</v>
      </c>
      <c r="H910">
        <v>9</v>
      </c>
      <c r="I910">
        <v>2200</v>
      </c>
      <c r="J910">
        <v>0.03</v>
      </c>
      <c r="K910" t="s">
        <v>18</v>
      </c>
      <c r="L910" t="s">
        <v>26</v>
      </c>
      <c r="M910" t="s">
        <v>301</v>
      </c>
      <c r="N910">
        <f>SalesTable[[#This Row],[الكمية]]*SalesTable[[#This Row],[سعر الوحدة]]</f>
        <v>19800</v>
      </c>
      <c r="O910">
        <f>SalesTable[[#This Row],[الكمية]]*SalesTable[[#This Row],[سعر الوحدة]]*(1-SalesTable[[#This Row],[الخصم]])</f>
        <v>19206</v>
      </c>
    </row>
    <row r="911" spans="1:15" x14ac:dyDescent="0.3">
      <c r="A911">
        <v>10910</v>
      </c>
      <c r="B911" t="s">
        <v>44</v>
      </c>
      <c r="C911" s="3">
        <v>46196</v>
      </c>
      <c r="D911" t="s">
        <v>90</v>
      </c>
      <c r="E911" t="s">
        <v>91</v>
      </c>
      <c r="F911" t="s">
        <v>16</v>
      </c>
      <c r="G911" t="s">
        <v>17</v>
      </c>
      <c r="H911">
        <v>3</v>
      </c>
      <c r="I911">
        <v>6500</v>
      </c>
      <c r="J911">
        <v>7.0000000000000007E-2</v>
      </c>
      <c r="K911" t="s">
        <v>55</v>
      </c>
      <c r="L911" t="s">
        <v>34</v>
      </c>
      <c r="M911" t="s">
        <v>273</v>
      </c>
      <c r="N911">
        <f>SalesTable[[#This Row],[الكمية]]*SalesTable[[#This Row],[سعر الوحدة]]</f>
        <v>19500</v>
      </c>
      <c r="O911">
        <f>SalesTable[[#This Row],[الكمية]]*SalesTable[[#This Row],[سعر الوحدة]]*(1-SalesTable[[#This Row],[الخصم]])</f>
        <v>18135</v>
      </c>
    </row>
    <row r="912" spans="1:15" x14ac:dyDescent="0.3">
      <c r="A912">
        <v>10911</v>
      </c>
      <c r="B912" t="s">
        <v>94</v>
      </c>
      <c r="C912" s="3">
        <v>46245</v>
      </c>
      <c r="D912" t="s">
        <v>45</v>
      </c>
      <c r="E912" t="s">
        <v>46</v>
      </c>
      <c r="F912" t="s">
        <v>49</v>
      </c>
      <c r="G912" t="s">
        <v>98</v>
      </c>
      <c r="H912">
        <v>3</v>
      </c>
      <c r="I912">
        <v>1200</v>
      </c>
      <c r="J912">
        <v>0.1</v>
      </c>
      <c r="K912" t="s">
        <v>18</v>
      </c>
      <c r="L912" t="s">
        <v>19</v>
      </c>
      <c r="M912" t="s">
        <v>225</v>
      </c>
      <c r="N912">
        <f>SalesTable[[#This Row],[الكمية]]*SalesTable[[#This Row],[سعر الوحدة]]</f>
        <v>3600</v>
      </c>
      <c r="O912">
        <f>SalesTable[[#This Row],[الكمية]]*SalesTable[[#This Row],[سعر الوحدة]]*(1-SalesTable[[#This Row],[الخصم]])</f>
        <v>3240</v>
      </c>
    </row>
    <row r="913" spans="1:15" x14ac:dyDescent="0.3">
      <c r="A913">
        <v>10912</v>
      </c>
      <c r="B913" t="s">
        <v>36</v>
      </c>
      <c r="C913" s="3">
        <v>46378</v>
      </c>
      <c r="D913" t="s">
        <v>90</v>
      </c>
      <c r="E913" t="s">
        <v>91</v>
      </c>
      <c r="F913" t="s">
        <v>64</v>
      </c>
      <c r="G913" t="s">
        <v>184</v>
      </c>
      <c r="H913">
        <v>4</v>
      </c>
      <c r="I913">
        <v>6500</v>
      </c>
      <c r="J913">
        <v>0.1</v>
      </c>
      <c r="K913" t="s">
        <v>38</v>
      </c>
      <c r="L913" t="s">
        <v>34</v>
      </c>
      <c r="M913" t="s">
        <v>135</v>
      </c>
      <c r="N913">
        <f>SalesTable[[#This Row],[الكمية]]*SalesTable[[#This Row],[سعر الوحدة]]</f>
        <v>26000</v>
      </c>
      <c r="O913">
        <f>SalesTable[[#This Row],[الكمية]]*SalesTable[[#This Row],[سعر الوحدة]]*(1-SalesTable[[#This Row],[الخصم]])</f>
        <v>23400</v>
      </c>
    </row>
    <row r="914" spans="1:15" x14ac:dyDescent="0.3">
      <c r="A914">
        <v>10913</v>
      </c>
      <c r="B914" t="s">
        <v>13</v>
      </c>
      <c r="C914" s="3">
        <v>46297</v>
      </c>
      <c r="D914" t="s">
        <v>14</v>
      </c>
      <c r="E914" t="s">
        <v>15</v>
      </c>
      <c r="F914" t="s">
        <v>31</v>
      </c>
      <c r="G914" t="s">
        <v>54</v>
      </c>
      <c r="H914">
        <v>10</v>
      </c>
      <c r="I914">
        <v>650</v>
      </c>
      <c r="J914">
        <v>0.1</v>
      </c>
      <c r="K914" t="s">
        <v>38</v>
      </c>
      <c r="L914" t="s">
        <v>26</v>
      </c>
      <c r="M914" t="s">
        <v>123</v>
      </c>
      <c r="N914">
        <f>SalesTable[[#This Row],[الكمية]]*SalesTable[[#This Row],[سعر الوحدة]]</f>
        <v>6500</v>
      </c>
      <c r="O914">
        <f>SalesTable[[#This Row],[الكمية]]*SalesTable[[#This Row],[سعر الوحدة]]*(1-SalesTable[[#This Row],[الخصم]])</f>
        <v>5850</v>
      </c>
    </row>
    <row r="915" spans="1:15" x14ac:dyDescent="0.3">
      <c r="A915">
        <v>10914</v>
      </c>
      <c r="B915" t="s">
        <v>94</v>
      </c>
      <c r="C915" s="3">
        <v>46273</v>
      </c>
      <c r="D915" t="s">
        <v>45</v>
      </c>
      <c r="E915" t="s">
        <v>46</v>
      </c>
      <c r="F915" t="s">
        <v>24</v>
      </c>
      <c r="G915" t="s">
        <v>57</v>
      </c>
      <c r="H915">
        <v>3</v>
      </c>
      <c r="I915">
        <v>1200</v>
      </c>
      <c r="J915">
        <v>0.1</v>
      </c>
      <c r="K915" t="s">
        <v>55</v>
      </c>
      <c r="L915" t="s">
        <v>19</v>
      </c>
      <c r="M915" t="s">
        <v>150</v>
      </c>
      <c r="N915">
        <f>SalesTable[[#This Row],[الكمية]]*SalesTable[[#This Row],[سعر الوحدة]]</f>
        <v>3600</v>
      </c>
      <c r="O915">
        <f>SalesTable[[#This Row],[الكمية]]*SalesTable[[#This Row],[سعر الوحدة]]*(1-SalesTable[[#This Row],[الخصم]])</f>
        <v>3240</v>
      </c>
    </row>
    <row r="916" spans="1:15" x14ac:dyDescent="0.3">
      <c r="A916">
        <v>10915</v>
      </c>
      <c r="B916" t="s">
        <v>21</v>
      </c>
      <c r="C916" s="3">
        <v>46214</v>
      </c>
      <c r="D916" t="s">
        <v>40</v>
      </c>
      <c r="E916" t="s">
        <v>41</v>
      </c>
      <c r="F916" t="s">
        <v>16</v>
      </c>
      <c r="G916" t="s">
        <v>96</v>
      </c>
      <c r="H916">
        <v>9</v>
      </c>
      <c r="I916">
        <v>150</v>
      </c>
      <c r="J916">
        <v>7.0000000000000007E-2</v>
      </c>
      <c r="K916" t="s">
        <v>33</v>
      </c>
      <c r="L916" t="s">
        <v>47</v>
      </c>
      <c r="M916" t="s">
        <v>114</v>
      </c>
      <c r="N916">
        <f>SalesTable[[#This Row],[الكمية]]*SalesTable[[#This Row],[سعر الوحدة]]</f>
        <v>1350</v>
      </c>
      <c r="O916">
        <f>SalesTable[[#This Row],[الكمية]]*SalesTable[[#This Row],[سعر الوحدة]]*(1-SalesTable[[#This Row],[الخصم]])</f>
        <v>1255.5</v>
      </c>
    </row>
    <row r="917" spans="1:15" x14ac:dyDescent="0.3">
      <c r="A917">
        <v>10916</v>
      </c>
      <c r="B917" t="s">
        <v>62</v>
      </c>
      <c r="C917" s="3">
        <v>46265</v>
      </c>
      <c r="D917" t="s">
        <v>70</v>
      </c>
      <c r="E917" t="s">
        <v>46</v>
      </c>
      <c r="F917" t="s">
        <v>49</v>
      </c>
      <c r="G917" t="s">
        <v>122</v>
      </c>
      <c r="H917">
        <v>8</v>
      </c>
      <c r="I917">
        <v>1800</v>
      </c>
      <c r="J917">
        <v>0.15</v>
      </c>
      <c r="K917" t="s">
        <v>38</v>
      </c>
      <c r="L917" t="s">
        <v>47</v>
      </c>
      <c r="M917" t="s">
        <v>61</v>
      </c>
      <c r="N917">
        <f>SalesTable[[#This Row],[الكمية]]*SalesTable[[#This Row],[سعر الوحدة]]</f>
        <v>14400</v>
      </c>
      <c r="O917">
        <f>SalesTable[[#This Row],[الكمية]]*SalesTable[[#This Row],[سعر الوحدة]]*(1-SalesTable[[#This Row],[الخصم]])</f>
        <v>12240</v>
      </c>
    </row>
    <row r="918" spans="1:15" x14ac:dyDescent="0.3">
      <c r="A918">
        <v>10917</v>
      </c>
      <c r="B918" t="s">
        <v>62</v>
      </c>
      <c r="C918" s="3">
        <v>46143</v>
      </c>
      <c r="D918" t="s">
        <v>14</v>
      </c>
      <c r="E918" t="s">
        <v>15</v>
      </c>
      <c r="F918" t="s">
        <v>24</v>
      </c>
      <c r="G918" t="s">
        <v>73</v>
      </c>
      <c r="H918">
        <v>4</v>
      </c>
      <c r="I918">
        <v>650</v>
      </c>
      <c r="J918">
        <v>0.03</v>
      </c>
      <c r="K918" t="s">
        <v>33</v>
      </c>
      <c r="L918" t="s">
        <v>26</v>
      </c>
      <c r="M918" t="s">
        <v>344</v>
      </c>
      <c r="N918">
        <f>SalesTable[[#This Row],[الكمية]]*SalesTable[[#This Row],[سعر الوحدة]]</f>
        <v>2600</v>
      </c>
      <c r="O918">
        <f>SalesTable[[#This Row],[الكمية]]*SalesTable[[#This Row],[سعر الوحدة]]*(1-SalesTable[[#This Row],[الخصم]])</f>
        <v>2522</v>
      </c>
    </row>
    <row r="919" spans="1:15" x14ac:dyDescent="0.3">
      <c r="A919">
        <v>10918</v>
      </c>
      <c r="B919" t="s">
        <v>52</v>
      </c>
      <c r="C919" s="3">
        <v>46304</v>
      </c>
      <c r="D919" t="s">
        <v>29</v>
      </c>
      <c r="E919" t="s">
        <v>30</v>
      </c>
      <c r="F919" t="s">
        <v>84</v>
      </c>
      <c r="G919" t="s">
        <v>113</v>
      </c>
      <c r="H919">
        <v>3</v>
      </c>
      <c r="I919">
        <v>7500</v>
      </c>
      <c r="J919">
        <v>0.05</v>
      </c>
      <c r="K919" t="s">
        <v>18</v>
      </c>
      <c r="L919" t="s">
        <v>26</v>
      </c>
      <c r="M919" t="s">
        <v>325</v>
      </c>
      <c r="N919">
        <f>SalesTable[[#This Row],[الكمية]]*SalesTable[[#This Row],[سعر الوحدة]]</f>
        <v>22500</v>
      </c>
      <c r="O919">
        <f>SalesTable[[#This Row],[الكمية]]*SalesTable[[#This Row],[سعر الوحدة]]*(1-SalesTable[[#This Row],[الخصم]])</f>
        <v>21375</v>
      </c>
    </row>
    <row r="920" spans="1:15" x14ac:dyDescent="0.3">
      <c r="A920">
        <v>10919</v>
      </c>
      <c r="B920" t="s">
        <v>94</v>
      </c>
      <c r="C920" s="3">
        <v>46044</v>
      </c>
      <c r="D920" t="s">
        <v>110</v>
      </c>
      <c r="E920" t="s">
        <v>46</v>
      </c>
      <c r="F920" t="s">
        <v>59</v>
      </c>
      <c r="G920" t="s">
        <v>75</v>
      </c>
      <c r="H920">
        <v>6</v>
      </c>
      <c r="I920">
        <v>450</v>
      </c>
      <c r="J920">
        <v>0.03</v>
      </c>
      <c r="K920" t="s">
        <v>33</v>
      </c>
      <c r="L920" t="s">
        <v>34</v>
      </c>
      <c r="M920" t="s">
        <v>192</v>
      </c>
      <c r="N920">
        <f>SalesTable[[#This Row],[الكمية]]*SalesTable[[#This Row],[سعر الوحدة]]</f>
        <v>2700</v>
      </c>
      <c r="O920">
        <f>SalesTable[[#This Row],[الكمية]]*SalesTable[[#This Row],[سعر الوحدة]]*(1-SalesTable[[#This Row],[الخصم]])</f>
        <v>2619</v>
      </c>
    </row>
    <row r="921" spans="1:15" x14ac:dyDescent="0.3">
      <c r="A921">
        <v>10920</v>
      </c>
      <c r="B921" t="s">
        <v>62</v>
      </c>
      <c r="C921" s="3">
        <v>46185</v>
      </c>
      <c r="D921" t="s">
        <v>48</v>
      </c>
      <c r="E921" t="s">
        <v>30</v>
      </c>
      <c r="F921" t="s">
        <v>59</v>
      </c>
      <c r="G921" t="s">
        <v>105</v>
      </c>
      <c r="H921">
        <v>7</v>
      </c>
      <c r="I921">
        <v>9000</v>
      </c>
      <c r="J921">
        <v>0.05</v>
      </c>
      <c r="K921" t="s">
        <v>38</v>
      </c>
      <c r="L921" t="s">
        <v>47</v>
      </c>
      <c r="M921" t="s">
        <v>116</v>
      </c>
      <c r="N921">
        <f>SalesTable[[#This Row],[الكمية]]*SalesTable[[#This Row],[سعر الوحدة]]</f>
        <v>63000</v>
      </c>
      <c r="O921">
        <f>SalesTable[[#This Row],[الكمية]]*SalesTable[[#This Row],[سعر الوحدة]]*(1-SalesTable[[#This Row],[الخصم]])</f>
        <v>59850</v>
      </c>
    </row>
    <row r="922" spans="1:15" x14ac:dyDescent="0.3">
      <c r="A922">
        <v>10921</v>
      </c>
      <c r="B922" t="s">
        <v>44</v>
      </c>
      <c r="C922" s="3">
        <v>46206</v>
      </c>
      <c r="D922" t="s">
        <v>37</v>
      </c>
      <c r="E922" t="s">
        <v>23</v>
      </c>
      <c r="F922" t="s">
        <v>59</v>
      </c>
      <c r="G922" t="s">
        <v>60</v>
      </c>
      <c r="H922">
        <v>5</v>
      </c>
      <c r="I922">
        <v>32000</v>
      </c>
      <c r="J922">
        <v>0.15</v>
      </c>
      <c r="K922" t="s">
        <v>18</v>
      </c>
      <c r="L922" t="s">
        <v>34</v>
      </c>
      <c r="M922" t="s">
        <v>347</v>
      </c>
      <c r="N922">
        <f>SalesTable[[#This Row],[الكمية]]*SalesTable[[#This Row],[سعر الوحدة]]</f>
        <v>160000</v>
      </c>
      <c r="O922">
        <f>SalesTable[[#This Row],[الكمية]]*SalesTable[[#This Row],[سعر الوحدة]]*(1-SalesTable[[#This Row],[الخصم]])</f>
        <v>136000</v>
      </c>
    </row>
    <row r="923" spans="1:15" x14ac:dyDescent="0.3">
      <c r="A923">
        <v>10922</v>
      </c>
      <c r="B923" t="s">
        <v>44</v>
      </c>
      <c r="C923" s="3">
        <v>46059</v>
      </c>
      <c r="D923" t="s">
        <v>53</v>
      </c>
      <c r="E923" t="s">
        <v>15</v>
      </c>
      <c r="F923" t="s">
        <v>16</v>
      </c>
      <c r="G923" t="s">
        <v>79</v>
      </c>
      <c r="H923">
        <v>4</v>
      </c>
      <c r="I923">
        <v>3200</v>
      </c>
      <c r="J923">
        <v>0</v>
      </c>
      <c r="K923" t="s">
        <v>38</v>
      </c>
      <c r="L923" t="s">
        <v>19</v>
      </c>
      <c r="M923" t="s">
        <v>27</v>
      </c>
      <c r="N923">
        <f>SalesTable[[#This Row],[الكمية]]*SalesTable[[#This Row],[سعر الوحدة]]</f>
        <v>12800</v>
      </c>
      <c r="O923">
        <f>SalesTable[[#This Row],[الكمية]]*SalesTable[[#This Row],[سعر الوحدة]]*(1-SalesTable[[#This Row],[الخصم]])</f>
        <v>12800</v>
      </c>
    </row>
    <row r="924" spans="1:15" x14ac:dyDescent="0.3">
      <c r="A924">
        <v>10923</v>
      </c>
      <c r="B924" t="s">
        <v>52</v>
      </c>
      <c r="C924" s="3">
        <v>46372</v>
      </c>
      <c r="D924" t="s">
        <v>45</v>
      </c>
      <c r="E924" t="s">
        <v>46</v>
      </c>
      <c r="F924" t="s">
        <v>49</v>
      </c>
      <c r="G924" t="s">
        <v>50</v>
      </c>
      <c r="H924">
        <v>6</v>
      </c>
      <c r="I924">
        <v>1200</v>
      </c>
      <c r="J924">
        <v>0.05</v>
      </c>
      <c r="K924" t="s">
        <v>38</v>
      </c>
      <c r="L924" t="s">
        <v>26</v>
      </c>
      <c r="M924" t="s">
        <v>131</v>
      </c>
      <c r="N924">
        <f>SalesTable[[#This Row],[الكمية]]*SalesTable[[#This Row],[سعر الوحدة]]</f>
        <v>7200</v>
      </c>
      <c r="O924">
        <f>SalesTable[[#This Row],[الكمية]]*SalesTable[[#This Row],[سعر الوحدة]]*(1-SalesTable[[#This Row],[الخصم]])</f>
        <v>6840</v>
      </c>
    </row>
    <row r="925" spans="1:15" x14ac:dyDescent="0.3">
      <c r="A925">
        <v>10924</v>
      </c>
      <c r="B925" t="s">
        <v>67</v>
      </c>
      <c r="C925" s="3">
        <v>46229</v>
      </c>
      <c r="D925" t="s">
        <v>68</v>
      </c>
      <c r="E925" t="s">
        <v>46</v>
      </c>
      <c r="F925" t="s">
        <v>87</v>
      </c>
      <c r="G925" t="s">
        <v>101</v>
      </c>
      <c r="H925">
        <v>5</v>
      </c>
      <c r="I925">
        <v>1400</v>
      </c>
      <c r="J925">
        <v>0.05</v>
      </c>
      <c r="K925" t="s">
        <v>33</v>
      </c>
      <c r="L925" t="s">
        <v>19</v>
      </c>
      <c r="M925" t="s">
        <v>293</v>
      </c>
      <c r="N925">
        <f>SalesTable[[#This Row],[الكمية]]*SalesTable[[#This Row],[سعر الوحدة]]</f>
        <v>7000</v>
      </c>
      <c r="O925">
        <f>SalesTable[[#This Row],[الكمية]]*SalesTable[[#This Row],[سعر الوحدة]]*(1-SalesTable[[#This Row],[الخصم]])</f>
        <v>6650</v>
      </c>
    </row>
    <row r="926" spans="1:15" x14ac:dyDescent="0.3">
      <c r="A926">
        <v>10925</v>
      </c>
      <c r="B926" t="s">
        <v>13</v>
      </c>
      <c r="C926" s="3">
        <v>46265</v>
      </c>
      <c r="D926" t="s">
        <v>14</v>
      </c>
      <c r="E926" t="s">
        <v>15</v>
      </c>
      <c r="F926" t="s">
        <v>64</v>
      </c>
      <c r="G926" t="s">
        <v>65</v>
      </c>
      <c r="H926">
        <v>4</v>
      </c>
      <c r="I926">
        <v>650</v>
      </c>
      <c r="J926">
        <v>0.03</v>
      </c>
      <c r="K926" t="s">
        <v>55</v>
      </c>
      <c r="L926" t="s">
        <v>47</v>
      </c>
      <c r="M926" t="s">
        <v>269</v>
      </c>
      <c r="N926">
        <f>SalesTable[[#This Row],[الكمية]]*SalesTable[[#This Row],[سعر الوحدة]]</f>
        <v>2600</v>
      </c>
      <c r="O926">
        <f>SalesTable[[#This Row],[الكمية]]*SalesTable[[#This Row],[سعر الوحدة]]*(1-SalesTable[[#This Row],[الخصم]])</f>
        <v>2522</v>
      </c>
    </row>
    <row r="927" spans="1:15" x14ac:dyDescent="0.3">
      <c r="A927">
        <v>10926</v>
      </c>
      <c r="B927" t="s">
        <v>36</v>
      </c>
      <c r="C927" s="3">
        <v>46130</v>
      </c>
      <c r="D927" t="s">
        <v>70</v>
      </c>
      <c r="E927" t="s">
        <v>46</v>
      </c>
      <c r="F927" t="s">
        <v>16</v>
      </c>
      <c r="G927" t="s">
        <v>79</v>
      </c>
      <c r="H927">
        <v>4</v>
      </c>
      <c r="I927">
        <v>1800</v>
      </c>
      <c r="J927">
        <v>7.0000000000000007E-2</v>
      </c>
      <c r="K927" t="s">
        <v>33</v>
      </c>
      <c r="L927" t="s">
        <v>47</v>
      </c>
      <c r="M927" t="s">
        <v>210</v>
      </c>
      <c r="N927">
        <f>SalesTable[[#This Row],[الكمية]]*SalesTable[[#This Row],[سعر الوحدة]]</f>
        <v>7200</v>
      </c>
      <c r="O927">
        <f>SalesTable[[#This Row],[الكمية]]*SalesTable[[#This Row],[سعر الوحدة]]*(1-SalesTable[[#This Row],[الخصم]])</f>
        <v>6696</v>
      </c>
    </row>
    <row r="928" spans="1:15" x14ac:dyDescent="0.3">
      <c r="A928">
        <v>10927</v>
      </c>
      <c r="B928" t="s">
        <v>52</v>
      </c>
      <c r="C928" s="3">
        <v>46027</v>
      </c>
      <c r="D928" t="s">
        <v>22</v>
      </c>
      <c r="E928" t="s">
        <v>23</v>
      </c>
      <c r="F928" t="s">
        <v>49</v>
      </c>
      <c r="G928" t="s">
        <v>50</v>
      </c>
      <c r="H928">
        <v>10</v>
      </c>
      <c r="I928">
        <v>25000</v>
      </c>
      <c r="J928">
        <v>0.03</v>
      </c>
      <c r="K928" t="s">
        <v>33</v>
      </c>
      <c r="L928" t="s">
        <v>34</v>
      </c>
      <c r="M928" t="s">
        <v>170</v>
      </c>
      <c r="N928">
        <f>SalesTable[[#This Row],[الكمية]]*SalesTable[[#This Row],[سعر الوحدة]]</f>
        <v>250000</v>
      </c>
      <c r="O928">
        <f>SalesTable[[#This Row],[الكمية]]*SalesTable[[#This Row],[سعر الوحدة]]*(1-SalesTable[[#This Row],[الخصم]])</f>
        <v>242500</v>
      </c>
    </row>
    <row r="929" spans="1:15" x14ac:dyDescent="0.3">
      <c r="A929">
        <v>10928</v>
      </c>
      <c r="B929" t="s">
        <v>21</v>
      </c>
      <c r="C929" s="3">
        <v>46176</v>
      </c>
      <c r="D929" t="s">
        <v>45</v>
      </c>
      <c r="E929" t="s">
        <v>46</v>
      </c>
      <c r="F929" t="s">
        <v>84</v>
      </c>
      <c r="G929" t="s">
        <v>85</v>
      </c>
      <c r="H929">
        <v>7</v>
      </c>
      <c r="I929">
        <v>1200</v>
      </c>
      <c r="J929">
        <v>0.15</v>
      </c>
      <c r="K929" t="s">
        <v>38</v>
      </c>
      <c r="L929" t="s">
        <v>19</v>
      </c>
      <c r="M929" t="s">
        <v>348</v>
      </c>
      <c r="N929">
        <f>SalesTable[[#This Row],[الكمية]]*SalesTable[[#This Row],[سعر الوحدة]]</f>
        <v>8400</v>
      </c>
      <c r="O929">
        <f>SalesTable[[#This Row],[الكمية]]*SalesTable[[#This Row],[سعر الوحدة]]*(1-SalesTable[[#This Row],[الخصم]])</f>
        <v>7140</v>
      </c>
    </row>
    <row r="930" spans="1:15" x14ac:dyDescent="0.3">
      <c r="A930">
        <v>10929</v>
      </c>
      <c r="B930" t="s">
        <v>94</v>
      </c>
      <c r="C930" s="3">
        <v>46345</v>
      </c>
      <c r="D930" t="s">
        <v>40</v>
      </c>
      <c r="E930" t="s">
        <v>41</v>
      </c>
      <c r="F930" t="s">
        <v>24</v>
      </c>
      <c r="G930" t="s">
        <v>73</v>
      </c>
      <c r="H930">
        <v>3</v>
      </c>
      <c r="I930">
        <v>150</v>
      </c>
      <c r="J930">
        <v>0.05</v>
      </c>
      <c r="K930" t="s">
        <v>33</v>
      </c>
      <c r="L930" t="s">
        <v>47</v>
      </c>
      <c r="M930" t="s">
        <v>162</v>
      </c>
      <c r="N930">
        <f>SalesTable[[#This Row],[الكمية]]*SalesTable[[#This Row],[سعر الوحدة]]</f>
        <v>450</v>
      </c>
      <c r="O930">
        <f>SalesTable[[#This Row],[الكمية]]*SalesTable[[#This Row],[سعر الوحدة]]*(1-SalesTable[[#This Row],[الخصم]])</f>
        <v>427.5</v>
      </c>
    </row>
    <row r="931" spans="1:15" x14ac:dyDescent="0.3">
      <c r="A931">
        <v>10930</v>
      </c>
      <c r="B931" t="s">
        <v>44</v>
      </c>
      <c r="C931" s="3">
        <v>46191</v>
      </c>
      <c r="D931" t="s">
        <v>29</v>
      </c>
      <c r="E931" t="s">
        <v>30</v>
      </c>
      <c r="F931" t="s">
        <v>16</v>
      </c>
      <c r="G931" t="s">
        <v>189</v>
      </c>
      <c r="H931">
        <v>4</v>
      </c>
      <c r="I931">
        <v>7500</v>
      </c>
      <c r="J931">
        <v>7.0000000000000007E-2</v>
      </c>
      <c r="K931" t="s">
        <v>33</v>
      </c>
      <c r="L931" t="s">
        <v>34</v>
      </c>
      <c r="M931" t="s">
        <v>193</v>
      </c>
      <c r="N931">
        <f>SalesTable[[#This Row],[الكمية]]*SalesTable[[#This Row],[سعر الوحدة]]</f>
        <v>30000</v>
      </c>
      <c r="O931">
        <f>SalesTable[[#This Row],[الكمية]]*SalesTable[[#This Row],[سعر الوحدة]]*(1-SalesTable[[#This Row],[الخصم]])</f>
        <v>27899.999999999996</v>
      </c>
    </row>
    <row r="932" spans="1:15" x14ac:dyDescent="0.3">
      <c r="A932">
        <v>10931</v>
      </c>
      <c r="B932" t="s">
        <v>94</v>
      </c>
      <c r="C932" s="3">
        <v>46273</v>
      </c>
      <c r="D932" t="s">
        <v>37</v>
      </c>
      <c r="E932" t="s">
        <v>23</v>
      </c>
      <c r="F932" t="s">
        <v>16</v>
      </c>
      <c r="G932" t="s">
        <v>96</v>
      </c>
      <c r="H932">
        <v>1</v>
      </c>
      <c r="I932">
        <v>32000</v>
      </c>
      <c r="J932">
        <v>0.15</v>
      </c>
      <c r="K932" t="s">
        <v>18</v>
      </c>
      <c r="L932" t="s">
        <v>26</v>
      </c>
      <c r="M932" t="s">
        <v>364</v>
      </c>
      <c r="N932">
        <f>SalesTable[[#This Row],[الكمية]]*SalesTable[[#This Row],[سعر الوحدة]]</f>
        <v>32000</v>
      </c>
      <c r="O932">
        <f>SalesTable[[#This Row],[الكمية]]*SalesTable[[#This Row],[سعر الوحدة]]*(1-SalesTable[[#This Row],[الخصم]])</f>
        <v>27200</v>
      </c>
    </row>
    <row r="933" spans="1:15" x14ac:dyDescent="0.3">
      <c r="A933">
        <v>10932</v>
      </c>
      <c r="B933" t="s">
        <v>52</v>
      </c>
      <c r="C933" s="3">
        <v>46360</v>
      </c>
      <c r="D933" t="s">
        <v>104</v>
      </c>
      <c r="E933" t="s">
        <v>23</v>
      </c>
      <c r="F933" t="s">
        <v>84</v>
      </c>
      <c r="G933" t="s">
        <v>85</v>
      </c>
      <c r="H933">
        <v>4</v>
      </c>
      <c r="I933">
        <v>28000</v>
      </c>
      <c r="J933">
        <v>0.03</v>
      </c>
      <c r="K933" t="s">
        <v>18</v>
      </c>
      <c r="L933" t="s">
        <v>47</v>
      </c>
      <c r="M933" t="s">
        <v>92</v>
      </c>
      <c r="N933">
        <f>SalesTable[[#This Row],[الكمية]]*SalesTable[[#This Row],[سعر الوحدة]]</f>
        <v>112000</v>
      </c>
      <c r="O933">
        <f>SalesTable[[#This Row],[الكمية]]*SalesTable[[#This Row],[سعر الوحدة]]*(1-SalesTable[[#This Row],[الخصم]])</f>
        <v>108640</v>
      </c>
    </row>
    <row r="934" spans="1:15" x14ac:dyDescent="0.3">
      <c r="A934">
        <v>10933</v>
      </c>
      <c r="B934" t="s">
        <v>36</v>
      </c>
      <c r="C934" s="3">
        <v>46103</v>
      </c>
      <c r="D934" t="s">
        <v>70</v>
      </c>
      <c r="E934" t="s">
        <v>46</v>
      </c>
      <c r="F934" t="s">
        <v>24</v>
      </c>
      <c r="G934" t="s">
        <v>73</v>
      </c>
      <c r="H934">
        <v>6</v>
      </c>
      <c r="I934">
        <v>1800</v>
      </c>
      <c r="J934">
        <v>7.0000000000000007E-2</v>
      </c>
      <c r="K934" t="s">
        <v>18</v>
      </c>
      <c r="L934" t="s">
        <v>26</v>
      </c>
      <c r="M934" t="s">
        <v>117</v>
      </c>
      <c r="N934">
        <f>SalesTable[[#This Row],[الكمية]]*SalesTable[[#This Row],[سعر الوحدة]]</f>
        <v>10800</v>
      </c>
      <c r="O934">
        <f>SalesTable[[#This Row],[الكمية]]*SalesTable[[#This Row],[سعر الوحدة]]*(1-SalesTable[[#This Row],[الخصم]])</f>
        <v>10044</v>
      </c>
    </row>
    <row r="935" spans="1:15" x14ac:dyDescent="0.3">
      <c r="A935">
        <v>10934</v>
      </c>
      <c r="B935" t="s">
        <v>13</v>
      </c>
      <c r="C935" s="3">
        <v>46089</v>
      </c>
      <c r="D935" t="s">
        <v>29</v>
      </c>
      <c r="E935" t="s">
        <v>30</v>
      </c>
      <c r="F935" t="s">
        <v>59</v>
      </c>
      <c r="G935" t="s">
        <v>75</v>
      </c>
      <c r="H935">
        <v>2</v>
      </c>
      <c r="I935">
        <v>7500</v>
      </c>
      <c r="J935">
        <v>7.0000000000000007E-2</v>
      </c>
      <c r="K935" t="s">
        <v>55</v>
      </c>
      <c r="L935" t="s">
        <v>34</v>
      </c>
      <c r="M935" t="s">
        <v>343</v>
      </c>
      <c r="N935">
        <f>SalesTable[[#This Row],[الكمية]]*SalesTable[[#This Row],[سعر الوحدة]]</f>
        <v>15000</v>
      </c>
      <c r="O935">
        <f>SalesTable[[#This Row],[الكمية]]*SalesTable[[#This Row],[سعر الوحدة]]*(1-SalesTable[[#This Row],[الخصم]])</f>
        <v>13949.999999999998</v>
      </c>
    </row>
    <row r="936" spans="1:15" x14ac:dyDescent="0.3">
      <c r="A936">
        <v>10935</v>
      </c>
      <c r="B936" t="s">
        <v>52</v>
      </c>
      <c r="C936" s="3">
        <v>46323</v>
      </c>
      <c r="D936" t="s">
        <v>68</v>
      </c>
      <c r="E936" t="s">
        <v>46</v>
      </c>
      <c r="F936" t="s">
        <v>59</v>
      </c>
      <c r="G936" t="s">
        <v>60</v>
      </c>
      <c r="H936">
        <v>10</v>
      </c>
      <c r="I936">
        <v>1400</v>
      </c>
      <c r="J936">
        <v>0.1</v>
      </c>
      <c r="K936" t="s">
        <v>55</v>
      </c>
      <c r="L936" t="s">
        <v>47</v>
      </c>
      <c r="M936" t="s">
        <v>143</v>
      </c>
      <c r="N936">
        <f>SalesTable[[#This Row],[الكمية]]*SalesTable[[#This Row],[سعر الوحدة]]</f>
        <v>14000</v>
      </c>
      <c r="O936">
        <f>SalesTable[[#This Row],[الكمية]]*SalesTable[[#This Row],[سعر الوحدة]]*(1-SalesTable[[#This Row],[الخصم]])</f>
        <v>12600</v>
      </c>
    </row>
    <row r="937" spans="1:15" x14ac:dyDescent="0.3">
      <c r="A937">
        <v>10936</v>
      </c>
      <c r="B937" t="s">
        <v>36</v>
      </c>
      <c r="C937" s="3">
        <v>46332</v>
      </c>
      <c r="D937" t="s">
        <v>45</v>
      </c>
      <c r="E937" t="s">
        <v>46</v>
      </c>
      <c r="F937" t="s">
        <v>24</v>
      </c>
      <c r="G937" t="s">
        <v>73</v>
      </c>
      <c r="H937">
        <v>8</v>
      </c>
      <c r="I937">
        <v>1200</v>
      </c>
      <c r="J937">
        <v>0</v>
      </c>
      <c r="K937" t="s">
        <v>55</v>
      </c>
      <c r="L937" t="s">
        <v>34</v>
      </c>
      <c r="M937" t="s">
        <v>124</v>
      </c>
      <c r="N937">
        <f>SalesTable[[#This Row],[الكمية]]*SalesTable[[#This Row],[سعر الوحدة]]</f>
        <v>9600</v>
      </c>
      <c r="O937">
        <f>SalesTable[[#This Row],[الكمية]]*SalesTable[[#This Row],[سعر الوحدة]]*(1-SalesTable[[#This Row],[الخصم]])</f>
        <v>9600</v>
      </c>
    </row>
    <row r="938" spans="1:15" x14ac:dyDescent="0.3">
      <c r="A938">
        <v>10937</v>
      </c>
      <c r="B938" t="s">
        <v>28</v>
      </c>
      <c r="C938" s="3">
        <v>46069</v>
      </c>
      <c r="D938" t="s">
        <v>90</v>
      </c>
      <c r="E938" t="s">
        <v>91</v>
      </c>
      <c r="F938" t="s">
        <v>59</v>
      </c>
      <c r="G938" t="s">
        <v>105</v>
      </c>
      <c r="H938">
        <v>8</v>
      </c>
      <c r="I938">
        <v>6500</v>
      </c>
      <c r="J938">
        <v>0.1</v>
      </c>
      <c r="K938" t="s">
        <v>38</v>
      </c>
      <c r="L938" t="s">
        <v>47</v>
      </c>
      <c r="M938" t="s">
        <v>318</v>
      </c>
      <c r="N938">
        <f>SalesTable[[#This Row],[الكمية]]*SalesTable[[#This Row],[سعر الوحدة]]</f>
        <v>52000</v>
      </c>
      <c r="O938">
        <f>SalesTable[[#This Row],[الكمية]]*SalesTable[[#This Row],[سعر الوحدة]]*(1-SalesTable[[#This Row],[الخصم]])</f>
        <v>46800</v>
      </c>
    </row>
    <row r="939" spans="1:15" x14ac:dyDescent="0.3">
      <c r="A939">
        <v>10938</v>
      </c>
      <c r="B939" t="s">
        <v>36</v>
      </c>
      <c r="C939" s="3">
        <v>46150</v>
      </c>
      <c r="D939" t="s">
        <v>81</v>
      </c>
      <c r="E939" t="s">
        <v>41</v>
      </c>
      <c r="F939" t="s">
        <v>87</v>
      </c>
      <c r="G939" t="s">
        <v>88</v>
      </c>
      <c r="H939">
        <v>10</v>
      </c>
      <c r="I939">
        <v>2200</v>
      </c>
      <c r="J939">
        <v>0.03</v>
      </c>
      <c r="K939" t="s">
        <v>55</v>
      </c>
      <c r="L939" t="s">
        <v>47</v>
      </c>
      <c r="M939" t="s">
        <v>267</v>
      </c>
      <c r="N939">
        <f>SalesTable[[#This Row],[الكمية]]*SalesTable[[#This Row],[سعر الوحدة]]</f>
        <v>22000</v>
      </c>
      <c r="O939">
        <f>SalesTable[[#This Row],[الكمية]]*SalesTable[[#This Row],[سعر الوحدة]]*(1-SalesTable[[#This Row],[الخصم]])</f>
        <v>21340</v>
      </c>
    </row>
    <row r="940" spans="1:15" x14ac:dyDescent="0.3">
      <c r="A940">
        <v>10939</v>
      </c>
      <c r="B940" t="s">
        <v>28</v>
      </c>
      <c r="C940" s="3">
        <v>46145</v>
      </c>
      <c r="D940" t="s">
        <v>29</v>
      </c>
      <c r="E940" t="s">
        <v>30</v>
      </c>
      <c r="F940" t="s">
        <v>64</v>
      </c>
      <c r="G940" t="s">
        <v>71</v>
      </c>
      <c r="H940">
        <v>7</v>
      </c>
      <c r="I940">
        <v>7500</v>
      </c>
      <c r="J940">
        <v>0.15</v>
      </c>
      <c r="K940" t="s">
        <v>55</v>
      </c>
      <c r="L940" t="s">
        <v>34</v>
      </c>
      <c r="M940" t="s">
        <v>100</v>
      </c>
      <c r="N940">
        <f>SalesTable[[#This Row],[الكمية]]*SalesTable[[#This Row],[سعر الوحدة]]</f>
        <v>52500</v>
      </c>
      <c r="O940">
        <f>SalesTable[[#This Row],[الكمية]]*SalesTable[[#This Row],[سعر الوحدة]]*(1-SalesTable[[#This Row],[الخصم]])</f>
        <v>44625</v>
      </c>
    </row>
    <row r="941" spans="1:15" x14ac:dyDescent="0.3">
      <c r="A941">
        <v>10940</v>
      </c>
      <c r="B941" t="s">
        <v>21</v>
      </c>
      <c r="C941" s="3">
        <v>46085</v>
      </c>
      <c r="D941" t="s">
        <v>110</v>
      </c>
      <c r="E941" t="s">
        <v>46</v>
      </c>
      <c r="F941" t="s">
        <v>16</v>
      </c>
      <c r="G941" t="s">
        <v>96</v>
      </c>
      <c r="H941">
        <v>8</v>
      </c>
      <c r="I941">
        <v>450</v>
      </c>
      <c r="J941">
        <v>7.0000000000000007E-2</v>
      </c>
      <c r="K941" t="s">
        <v>38</v>
      </c>
      <c r="L941" t="s">
        <v>19</v>
      </c>
      <c r="M941" t="s">
        <v>285</v>
      </c>
      <c r="N941">
        <f>SalesTable[[#This Row],[الكمية]]*SalesTable[[#This Row],[سعر الوحدة]]</f>
        <v>3600</v>
      </c>
      <c r="O941">
        <f>SalesTable[[#This Row],[الكمية]]*SalesTable[[#This Row],[سعر الوحدة]]*(1-SalesTable[[#This Row],[الخصم]])</f>
        <v>3348</v>
      </c>
    </row>
    <row r="942" spans="1:15" x14ac:dyDescent="0.3">
      <c r="A942">
        <v>10941</v>
      </c>
      <c r="B942" t="s">
        <v>52</v>
      </c>
      <c r="C942" s="3">
        <v>46129</v>
      </c>
      <c r="D942" t="s">
        <v>53</v>
      </c>
      <c r="E942" t="s">
        <v>15</v>
      </c>
      <c r="F942" t="s">
        <v>49</v>
      </c>
      <c r="G942" t="s">
        <v>98</v>
      </c>
      <c r="H942">
        <v>8</v>
      </c>
      <c r="I942">
        <v>3200</v>
      </c>
      <c r="J942">
        <v>0.03</v>
      </c>
      <c r="K942" t="s">
        <v>18</v>
      </c>
      <c r="L942" t="s">
        <v>47</v>
      </c>
      <c r="M942" t="s">
        <v>361</v>
      </c>
      <c r="N942">
        <f>SalesTable[[#This Row],[الكمية]]*SalesTable[[#This Row],[سعر الوحدة]]</f>
        <v>25600</v>
      </c>
      <c r="O942">
        <f>SalesTable[[#This Row],[الكمية]]*SalesTable[[#This Row],[سعر الوحدة]]*(1-SalesTable[[#This Row],[الخصم]])</f>
        <v>24832</v>
      </c>
    </row>
    <row r="943" spans="1:15" x14ac:dyDescent="0.3">
      <c r="A943">
        <v>10942</v>
      </c>
      <c r="B943" t="s">
        <v>36</v>
      </c>
      <c r="C943" s="3">
        <v>46122</v>
      </c>
      <c r="D943" t="s">
        <v>104</v>
      </c>
      <c r="E943" t="s">
        <v>23</v>
      </c>
      <c r="F943" t="s">
        <v>59</v>
      </c>
      <c r="G943" t="s">
        <v>105</v>
      </c>
      <c r="H943">
        <v>6</v>
      </c>
      <c r="I943">
        <v>28000</v>
      </c>
      <c r="J943">
        <v>0.15</v>
      </c>
      <c r="K943" t="s">
        <v>33</v>
      </c>
      <c r="L943" t="s">
        <v>19</v>
      </c>
      <c r="M943" t="s">
        <v>329</v>
      </c>
      <c r="N943">
        <f>SalesTable[[#This Row],[الكمية]]*SalesTable[[#This Row],[سعر الوحدة]]</f>
        <v>168000</v>
      </c>
      <c r="O943">
        <f>SalesTable[[#This Row],[الكمية]]*SalesTable[[#This Row],[سعر الوحدة]]*(1-SalesTable[[#This Row],[الخصم]])</f>
        <v>142800</v>
      </c>
    </row>
    <row r="944" spans="1:15" x14ac:dyDescent="0.3">
      <c r="A944">
        <v>10943</v>
      </c>
      <c r="B944" t="s">
        <v>62</v>
      </c>
      <c r="C944" s="3">
        <v>46271</v>
      </c>
      <c r="D944" t="s">
        <v>110</v>
      </c>
      <c r="E944" t="s">
        <v>46</v>
      </c>
      <c r="F944" t="s">
        <v>16</v>
      </c>
      <c r="G944" t="s">
        <v>96</v>
      </c>
      <c r="H944">
        <v>6</v>
      </c>
      <c r="I944">
        <v>450</v>
      </c>
      <c r="J944">
        <v>0.15</v>
      </c>
      <c r="K944" t="s">
        <v>33</v>
      </c>
      <c r="L944" t="s">
        <v>19</v>
      </c>
      <c r="M944" t="s">
        <v>214</v>
      </c>
      <c r="N944">
        <f>SalesTable[[#This Row],[الكمية]]*SalesTable[[#This Row],[سعر الوحدة]]</f>
        <v>2700</v>
      </c>
      <c r="O944">
        <f>SalesTable[[#This Row],[الكمية]]*SalesTable[[#This Row],[سعر الوحدة]]*(1-SalesTable[[#This Row],[الخصم]])</f>
        <v>2295</v>
      </c>
    </row>
    <row r="945" spans="1:15" x14ac:dyDescent="0.3">
      <c r="A945">
        <v>10944</v>
      </c>
      <c r="B945" t="s">
        <v>62</v>
      </c>
      <c r="C945" s="3">
        <v>46165</v>
      </c>
      <c r="D945" t="s">
        <v>53</v>
      </c>
      <c r="E945" t="s">
        <v>15</v>
      </c>
      <c r="F945" t="s">
        <v>31</v>
      </c>
      <c r="G945" t="s">
        <v>77</v>
      </c>
      <c r="H945">
        <v>8</v>
      </c>
      <c r="I945">
        <v>3200</v>
      </c>
      <c r="J945">
        <v>0.03</v>
      </c>
      <c r="K945" t="s">
        <v>55</v>
      </c>
      <c r="L945" t="s">
        <v>26</v>
      </c>
      <c r="M945" t="s">
        <v>217</v>
      </c>
      <c r="N945">
        <f>SalesTable[[#This Row],[الكمية]]*SalesTable[[#This Row],[سعر الوحدة]]</f>
        <v>25600</v>
      </c>
      <c r="O945">
        <f>SalesTable[[#This Row],[الكمية]]*SalesTable[[#This Row],[سعر الوحدة]]*(1-SalesTable[[#This Row],[الخصم]])</f>
        <v>24832</v>
      </c>
    </row>
    <row r="946" spans="1:15" x14ac:dyDescent="0.3">
      <c r="A946">
        <v>10945</v>
      </c>
      <c r="B946" t="s">
        <v>21</v>
      </c>
      <c r="C946" s="3">
        <v>46223</v>
      </c>
      <c r="D946" t="s">
        <v>95</v>
      </c>
      <c r="E946" t="s">
        <v>15</v>
      </c>
      <c r="F946" t="s">
        <v>16</v>
      </c>
      <c r="G946" t="s">
        <v>96</v>
      </c>
      <c r="H946">
        <v>5</v>
      </c>
      <c r="I946">
        <v>5200</v>
      </c>
      <c r="J946">
        <v>0</v>
      </c>
      <c r="K946" t="s">
        <v>55</v>
      </c>
      <c r="L946" t="s">
        <v>19</v>
      </c>
      <c r="M946" t="s">
        <v>329</v>
      </c>
      <c r="N946">
        <f>SalesTable[[#This Row],[الكمية]]*SalesTable[[#This Row],[سعر الوحدة]]</f>
        <v>26000</v>
      </c>
      <c r="O946">
        <f>SalesTable[[#This Row],[الكمية]]*SalesTable[[#This Row],[سعر الوحدة]]*(1-SalesTable[[#This Row],[الخصم]])</f>
        <v>26000</v>
      </c>
    </row>
    <row r="947" spans="1:15" x14ac:dyDescent="0.3">
      <c r="A947">
        <v>10946</v>
      </c>
      <c r="B947" t="s">
        <v>112</v>
      </c>
      <c r="C947" s="3">
        <v>46133</v>
      </c>
      <c r="D947" t="s">
        <v>14</v>
      </c>
      <c r="E947" t="s">
        <v>15</v>
      </c>
      <c r="F947" t="s">
        <v>87</v>
      </c>
      <c r="G947" t="s">
        <v>101</v>
      </c>
      <c r="H947">
        <v>8</v>
      </c>
      <c r="I947">
        <v>650</v>
      </c>
      <c r="J947">
        <v>0.05</v>
      </c>
      <c r="K947" t="s">
        <v>18</v>
      </c>
      <c r="L947" t="s">
        <v>26</v>
      </c>
      <c r="M947" t="s">
        <v>152</v>
      </c>
      <c r="N947">
        <f>SalesTable[[#This Row],[الكمية]]*SalesTable[[#This Row],[سعر الوحدة]]</f>
        <v>5200</v>
      </c>
      <c r="O947">
        <f>SalesTable[[#This Row],[الكمية]]*SalesTable[[#This Row],[سعر الوحدة]]*(1-SalesTable[[#This Row],[الخصم]])</f>
        <v>4940</v>
      </c>
    </row>
    <row r="948" spans="1:15" x14ac:dyDescent="0.3">
      <c r="A948">
        <v>10947</v>
      </c>
      <c r="B948" t="s">
        <v>52</v>
      </c>
      <c r="C948" s="3">
        <v>46250</v>
      </c>
      <c r="D948" t="s">
        <v>81</v>
      </c>
      <c r="E948" t="s">
        <v>41</v>
      </c>
      <c r="F948" t="s">
        <v>24</v>
      </c>
      <c r="G948" t="s">
        <v>25</v>
      </c>
      <c r="H948">
        <v>7</v>
      </c>
      <c r="I948">
        <v>2200</v>
      </c>
      <c r="J948">
        <v>0.15</v>
      </c>
      <c r="K948" t="s">
        <v>18</v>
      </c>
      <c r="L948" t="s">
        <v>19</v>
      </c>
      <c r="M948" t="s">
        <v>311</v>
      </c>
      <c r="N948">
        <f>SalesTable[[#This Row],[الكمية]]*SalesTable[[#This Row],[سعر الوحدة]]</f>
        <v>15400</v>
      </c>
      <c r="O948">
        <f>SalesTable[[#This Row],[الكمية]]*SalesTable[[#This Row],[سعر الوحدة]]*(1-SalesTable[[#This Row],[الخصم]])</f>
        <v>13090</v>
      </c>
    </row>
    <row r="949" spans="1:15" x14ac:dyDescent="0.3">
      <c r="A949">
        <v>10948</v>
      </c>
      <c r="B949" t="s">
        <v>13</v>
      </c>
      <c r="C949" s="3">
        <v>46125</v>
      </c>
      <c r="D949" t="s">
        <v>40</v>
      </c>
      <c r="E949" t="s">
        <v>41</v>
      </c>
      <c r="F949" t="s">
        <v>84</v>
      </c>
      <c r="G949" t="s">
        <v>120</v>
      </c>
      <c r="H949">
        <v>4</v>
      </c>
      <c r="I949">
        <v>150</v>
      </c>
      <c r="J949">
        <v>0.05</v>
      </c>
      <c r="K949" t="s">
        <v>18</v>
      </c>
      <c r="L949" t="s">
        <v>19</v>
      </c>
      <c r="M949" t="s">
        <v>357</v>
      </c>
      <c r="N949">
        <f>SalesTable[[#This Row],[الكمية]]*SalesTable[[#This Row],[سعر الوحدة]]</f>
        <v>600</v>
      </c>
      <c r="O949">
        <f>SalesTable[[#This Row],[الكمية]]*SalesTable[[#This Row],[سعر الوحدة]]*(1-SalesTable[[#This Row],[الخصم]])</f>
        <v>570</v>
      </c>
    </row>
    <row r="950" spans="1:15" x14ac:dyDescent="0.3">
      <c r="A950">
        <v>10949</v>
      </c>
      <c r="B950" t="s">
        <v>44</v>
      </c>
      <c r="C950" s="3">
        <v>46135</v>
      </c>
      <c r="D950" t="s">
        <v>22</v>
      </c>
      <c r="E950" t="s">
        <v>23</v>
      </c>
      <c r="F950" t="s">
        <v>24</v>
      </c>
      <c r="G950" t="s">
        <v>57</v>
      </c>
      <c r="H950">
        <v>4</v>
      </c>
      <c r="I950">
        <v>25000</v>
      </c>
      <c r="J950">
        <v>0.15</v>
      </c>
      <c r="K950" t="s">
        <v>18</v>
      </c>
      <c r="L950" t="s">
        <v>26</v>
      </c>
      <c r="M950" t="s">
        <v>367</v>
      </c>
      <c r="N950">
        <f>SalesTable[[#This Row],[الكمية]]*SalesTable[[#This Row],[سعر الوحدة]]</f>
        <v>100000</v>
      </c>
      <c r="O950">
        <f>SalesTable[[#This Row],[الكمية]]*SalesTable[[#This Row],[سعر الوحدة]]*(1-SalesTable[[#This Row],[الخصم]])</f>
        <v>85000</v>
      </c>
    </row>
    <row r="951" spans="1:15" x14ac:dyDescent="0.3">
      <c r="A951">
        <v>10950</v>
      </c>
      <c r="B951" t="s">
        <v>67</v>
      </c>
      <c r="C951" s="3">
        <v>46310</v>
      </c>
      <c r="D951" t="s">
        <v>22</v>
      </c>
      <c r="E951" t="s">
        <v>23</v>
      </c>
      <c r="F951" t="s">
        <v>84</v>
      </c>
      <c r="G951" t="s">
        <v>113</v>
      </c>
      <c r="H951">
        <v>2</v>
      </c>
      <c r="I951">
        <v>25000</v>
      </c>
      <c r="J951">
        <v>0.05</v>
      </c>
      <c r="K951" t="s">
        <v>55</v>
      </c>
      <c r="L951" t="s">
        <v>26</v>
      </c>
      <c r="M951" t="s">
        <v>171</v>
      </c>
      <c r="N951">
        <f>SalesTable[[#This Row],[الكمية]]*SalesTable[[#This Row],[سعر الوحدة]]</f>
        <v>50000</v>
      </c>
      <c r="O951">
        <f>SalesTable[[#This Row],[الكمية]]*SalesTable[[#This Row],[سعر الوحدة]]*(1-SalesTable[[#This Row],[الخصم]])</f>
        <v>47500</v>
      </c>
    </row>
    <row r="952" spans="1:15" x14ac:dyDescent="0.3">
      <c r="A952">
        <v>10951</v>
      </c>
      <c r="B952" t="s">
        <v>44</v>
      </c>
      <c r="C952" s="3">
        <v>46205</v>
      </c>
      <c r="D952" t="s">
        <v>29</v>
      </c>
      <c r="E952" t="s">
        <v>30</v>
      </c>
      <c r="F952" t="s">
        <v>84</v>
      </c>
      <c r="G952" t="s">
        <v>120</v>
      </c>
      <c r="H952">
        <v>4</v>
      </c>
      <c r="I952">
        <v>7500</v>
      </c>
      <c r="J952">
        <v>0.03</v>
      </c>
      <c r="K952" t="s">
        <v>38</v>
      </c>
      <c r="L952" t="s">
        <v>26</v>
      </c>
      <c r="M952" t="s">
        <v>241</v>
      </c>
      <c r="N952">
        <f>SalesTable[[#This Row],[الكمية]]*SalesTable[[#This Row],[سعر الوحدة]]</f>
        <v>30000</v>
      </c>
      <c r="O952">
        <f>SalesTable[[#This Row],[الكمية]]*SalesTable[[#This Row],[سعر الوحدة]]*(1-SalesTable[[#This Row],[الخصم]])</f>
        <v>29100</v>
      </c>
    </row>
    <row r="953" spans="1:15" x14ac:dyDescent="0.3">
      <c r="A953">
        <v>10952</v>
      </c>
      <c r="B953" t="s">
        <v>62</v>
      </c>
      <c r="C953" s="3">
        <v>46135</v>
      </c>
      <c r="D953" t="s">
        <v>29</v>
      </c>
      <c r="E953" t="s">
        <v>30</v>
      </c>
      <c r="F953" t="s">
        <v>49</v>
      </c>
      <c r="G953" t="s">
        <v>50</v>
      </c>
      <c r="H953">
        <v>7</v>
      </c>
      <c r="I953">
        <v>7500</v>
      </c>
      <c r="J953">
        <v>0.03</v>
      </c>
      <c r="K953" t="s">
        <v>18</v>
      </c>
      <c r="L953" t="s">
        <v>34</v>
      </c>
      <c r="M953" t="s">
        <v>182</v>
      </c>
      <c r="N953">
        <f>SalesTable[[#This Row],[الكمية]]*SalesTable[[#This Row],[سعر الوحدة]]</f>
        <v>52500</v>
      </c>
      <c r="O953">
        <f>SalesTable[[#This Row],[الكمية]]*SalesTable[[#This Row],[سعر الوحدة]]*(1-SalesTable[[#This Row],[الخصم]])</f>
        <v>50925</v>
      </c>
    </row>
    <row r="954" spans="1:15" x14ac:dyDescent="0.3">
      <c r="A954">
        <v>10953</v>
      </c>
      <c r="B954" t="s">
        <v>94</v>
      </c>
      <c r="C954" s="3">
        <v>46278</v>
      </c>
      <c r="D954" t="s">
        <v>22</v>
      </c>
      <c r="E954" t="s">
        <v>23</v>
      </c>
      <c r="F954" t="s">
        <v>16</v>
      </c>
      <c r="G954" t="s">
        <v>96</v>
      </c>
      <c r="H954">
        <v>7</v>
      </c>
      <c r="I954">
        <v>25000</v>
      </c>
      <c r="J954">
        <v>0.05</v>
      </c>
      <c r="K954" t="s">
        <v>18</v>
      </c>
      <c r="L954" t="s">
        <v>26</v>
      </c>
      <c r="M954" t="s">
        <v>321</v>
      </c>
      <c r="N954">
        <f>SalesTable[[#This Row],[الكمية]]*SalesTable[[#This Row],[سعر الوحدة]]</f>
        <v>175000</v>
      </c>
      <c r="O954">
        <f>SalesTable[[#This Row],[الكمية]]*SalesTable[[#This Row],[سعر الوحدة]]*(1-SalesTable[[#This Row],[الخصم]])</f>
        <v>166250</v>
      </c>
    </row>
    <row r="955" spans="1:15" x14ac:dyDescent="0.3">
      <c r="A955">
        <v>10954</v>
      </c>
      <c r="B955" t="s">
        <v>112</v>
      </c>
      <c r="C955" s="3">
        <v>46193</v>
      </c>
      <c r="D955" t="s">
        <v>104</v>
      </c>
      <c r="E955" t="s">
        <v>23</v>
      </c>
      <c r="F955" t="s">
        <v>49</v>
      </c>
      <c r="G955" t="s">
        <v>122</v>
      </c>
      <c r="H955">
        <v>7</v>
      </c>
      <c r="I955">
        <v>28000</v>
      </c>
      <c r="J955">
        <v>0.15</v>
      </c>
      <c r="K955" t="s">
        <v>55</v>
      </c>
      <c r="L955" t="s">
        <v>34</v>
      </c>
      <c r="M955" t="s">
        <v>326</v>
      </c>
      <c r="N955">
        <f>SalesTable[[#This Row],[الكمية]]*SalesTable[[#This Row],[سعر الوحدة]]</f>
        <v>196000</v>
      </c>
      <c r="O955">
        <f>SalesTable[[#This Row],[الكمية]]*SalesTable[[#This Row],[سعر الوحدة]]*(1-SalesTable[[#This Row],[الخصم]])</f>
        <v>166600</v>
      </c>
    </row>
    <row r="956" spans="1:15" x14ac:dyDescent="0.3">
      <c r="A956">
        <v>10955</v>
      </c>
      <c r="B956" t="s">
        <v>62</v>
      </c>
      <c r="C956" s="3">
        <v>46218</v>
      </c>
      <c r="D956" t="s">
        <v>104</v>
      </c>
      <c r="E956" t="s">
        <v>23</v>
      </c>
      <c r="F956" t="s">
        <v>49</v>
      </c>
      <c r="G956" t="s">
        <v>50</v>
      </c>
      <c r="H956">
        <v>10</v>
      </c>
      <c r="I956">
        <v>28000</v>
      </c>
      <c r="J956">
        <v>0.1</v>
      </c>
      <c r="K956" t="s">
        <v>55</v>
      </c>
      <c r="L956" t="s">
        <v>19</v>
      </c>
      <c r="M956" t="s">
        <v>281</v>
      </c>
      <c r="N956">
        <f>SalesTable[[#This Row],[الكمية]]*SalesTable[[#This Row],[سعر الوحدة]]</f>
        <v>280000</v>
      </c>
      <c r="O956">
        <f>SalesTable[[#This Row],[الكمية]]*SalesTable[[#This Row],[سعر الوحدة]]*(1-SalesTable[[#This Row],[الخصم]])</f>
        <v>252000</v>
      </c>
    </row>
    <row r="957" spans="1:15" x14ac:dyDescent="0.3">
      <c r="A957">
        <v>10956</v>
      </c>
      <c r="B957" t="s">
        <v>36</v>
      </c>
      <c r="C957" s="3">
        <v>46147</v>
      </c>
      <c r="D957" t="s">
        <v>22</v>
      </c>
      <c r="E957" t="s">
        <v>23</v>
      </c>
      <c r="F957" t="s">
        <v>16</v>
      </c>
      <c r="G957" t="s">
        <v>79</v>
      </c>
      <c r="H957">
        <v>4</v>
      </c>
      <c r="I957">
        <v>25000</v>
      </c>
      <c r="J957">
        <v>0.15</v>
      </c>
      <c r="K957" t="s">
        <v>18</v>
      </c>
      <c r="L957" t="s">
        <v>19</v>
      </c>
      <c r="M957" t="s">
        <v>131</v>
      </c>
      <c r="N957">
        <f>SalesTable[[#This Row],[الكمية]]*SalesTable[[#This Row],[سعر الوحدة]]</f>
        <v>100000</v>
      </c>
      <c r="O957">
        <f>SalesTable[[#This Row],[الكمية]]*SalesTable[[#This Row],[سعر الوحدة]]*(1-SalesTable[[#This Row],[الخصم]])</f>
        <v>85000</v>
      </c>
    </row>
    <row r="958" spans="1:15" x14ac:dyDescent="0.3">
      <c r="A958">
        <v>10957</v>
      </c>
      <c r="B958" t="s">
        <v>36</v>
      </c>
      <c r="C958" s="3">
        <v>46127</v>
      </c>
      <c r="D958" t="s">
        <v>70</v>
      </c>
      <c r="E958" t="s">
        <v>46</v>
      </c>
      <c r="F958" t="s">
        <v>59</v>
      </c>
      <c r="G958" t="s">
        <v>105</v>
      </c>
      <c r="H958">
        <v>4</v>
      </c>
      <c r="I958">
        <v>1800</v>
      </c>
      <c r="J958">
        <v>0.03</v>
      </c>
      <c r="K958" t="s">
        <v>18</v>
      </c>
      <c r="L958" t="s">
        <v>26</v>
      </c>
      <c r="M958" t="s">
        <v>172</v>
      </c>
      <c r="N958">
        <f>SalesTable[[#This Row],[الكمية]]*SalesTable[[#This Row],[سعر الوحدة]]</f>
        <v>7200</v>
      </c>
      <c r="O958">
        <f>SalesTable[[#This Row],[الكمية]]*SalesTable[[#This Row],[سعر الوحدة]]*(1-SalesTable[[#This Row],[الخصم]])</f>
        <v>6984</v>
      </c>
    </row>
    <row r="959" spans="1:15" x14ac:dyDescent="0.3">
      <c r="A959">
        <v>10958</v>
      </c>
      <c r="B959" t="s">
        <v>28</v>
      </c>
      <c r="C959" s="3">
        <v>46289</v>
      </c>
      <c r="D959" t="s">
        <v>81</v>
      </c>
      <c r="E959" t="s">
        <v>41</v>
      </c>
      <c r="F959" t="s">
        <v>49</v>
      </c>
      <c r="G959" t="s">
        <v>50</v>
      </c>
      <c r="H959">
        <v>5</v>
      </c>
      <c r="I959">
        <v>2200</v>
      </c>
      <c r="J959">
        <v>0.05</v>
      </c>
      <c r="K959" t="s">
        <v>33</v>
      </c>
      <c r="L959" t="s">
        <v>34</v>
      </c>
      <c r="M959" t="s">
        <v>116</v>
      </c>
      <c r="N959">
        <f>SalesTable[[#This Row],[الكمية]]*SalesTable[[#This Row],[سعر الوحدة]]</f>
        <v>11000</v>
      </c>
      <c r="O959">
        <f>SalesTable[[#This Row],[الكمية]]*SalesTable[[#This Row],[سعر الوحدة]]*(1-SalesTable[[#This Row],[الخصم]])</f>
        <v>10450</v>
      </c>
    </row>
    <row r="960" spans="1:15" x14ac:dyDescent="0.3">
      <c r="A960">
        <v>10959</v>
      </c>
      <c r="B960" t="s">
        <v>21</v>
      </c>
      <c r="C960" s="3">
        <v>46050</v>
      </c>
      <c r="D960" t="s">
        <v>45</v>
      </c>
      <c r="E960" t="s">
        <v>46</v>
      </c>
      <c r="F960" t="s">
        <v>49</v>
      </c>
      <c r="G960" t="s">
        <v>98</v>
      </c>
      <c r="H960">
        <v>4</v>
      </c>
      <c r="I960">
        <v>1200</v>
      </c>
      <c r="J960">
        <v>0.03</v>
      </c>
      <c r="K960" t="s">
        <v>55</v>
      </c>
      <c r="L960" t="s">
        <v>26</v>
      </c>
      <c r="M960" t="s">
        <v>168</v>
      </c>
      <c r="N960">
        <f>SalesTable[[#This Row],[الكمية]]*SalesTable[[#This Row],[سعر الوحدة]]</f>
        <v>4800</v>
      </c>
      <c r="O960">
        <f>SalesTable[[#This Row],[الكمية]]*SalesTable[[#This Row],[سعر الوحدة]]*(1-SalesTable[[#This Row],[الخصم]])</f>
        <v>4656</v>
      </c>
    </row>
    <row r="961" spans="1:15" x14ac:dyDescent="0.3">
      <c r="A961">
        <v>10960</v>
      </c>
      <c r="B961" t="s">
        <v>28</v>
      </c>
      <c r="C961" s="3">
        <v>46056</v>
      </c>
      <c r="D961" t="s">
        <v>53</v>
      </c>
      <c r="E961" t="s">
        <v>15</v>
      </c>
      <c r="F961" t="s">
        <v>49</v>
      </c>
      <c r="G961" t="s">
        <v>50</v>
      </c>
      <c r="H961">
        <v>8</v>
      </c>
      <c r="I961">
        <v>3200</v>
      </c>
      <c r="J961">
        <v>0.15</v>
      </c>
      <c r="K961" t="s">
        <v>33</v>
      </c>
      <c r="L961" t="s">
        <v>19</v>
      </c>
      <c r="M961" t="s">
        <v>147</v>
      </c>
      <c r="N961">
        <f>SalesTable[[#This Row],[الكمية]]*SalesTable[[#This Row],[سعر الوحدة]]</f>
        <v>25600</v>
      </c>
      <c r="O961">
        <f>SalesTable[[#This Row],[الكمية]]*SalesTable[[#This Row],[سعر الوحدة]]*(1-SalesTable[[#This Row],[الخصم]])</f>
        <v>21760</v>
      </c>
    </row>
    <row r="962" spans="1:15" x14ac:dyDescent="0.3">
      <c r="A962">
        <v>10961</v>
      </c>
      <c r="B962" t="s">
        <v>112</v>
      </c>
      <c r="C962" s="3">
        <v>46326</v>
      </c>
      <c r="D962" t="s">
        <v>22</v>
      </c>
      <c r="E962" t="s">
        <v>23</v>
      </c>
      <c r="F962" t="s">
        <v>64</v>
      </c>
      <c r="G962" t="s">
        <v>184</v>
      </c>
      <c r="H962">
        <v>3</v>
      </c>
      <c r="I962">
        <v>25000</v>
      </c>
      <c r="J962">
        <v>0</v>
      </c>
      <c r="K962" t="s">
        <v>55</v>
      </c>
      <c r="L962" t="s">
        <v>26</v>
      </c>
      <c r="M962" t="s">
        <v>206</v>
      </c>
      <c r="N962">
        <f>SalesTable[[#This Row],[الكمية]]*SalesTable[[#This Row],[سعر الوحدة]]</f>
        <v>75000</v>
      </c>
      <c r="O962">
        <f>SalesTable[[#This Row],[الكمية]]*SalesTable[[#This Row],[سعر الوحدة]]*(1-SalesTable[[#This Row],[الخصم]])</f>
        <v>75000</v>
      </c>
    </row>
    <row r="963" spans="1:15" x14ac:dyDescent="0.3">
      <c r="A963">
        <v>10962</v>
      </c>
      <c r="B963" t="s">
        <v>112</v>
      </c>
      <c r="C963" s="3">
        <v>46124</v>
      </c>
      <c r="D963" t="s">
        <v>104</v>
      </c>
      <c r="E963" t="s">
        <v>23</v>
      </c>
      <c r="F963" t="s">
        <v>84</v>
      </c>
      <c r="G963" t="s">
        <v>113</v>
      </c>
      <c r="H963">
        <v>8</v>
      </c>
      <c r="I963">
        <v>28000</v>
      </c>
      <c r="J963">
        <v>0.05</v>
      </c>
      <c r="K963" t="s">
        <v>55</v>
      </c>
      <c r="L963" t="s">
        <v>47</v>
      </c>
      <c r="M963" t="s">
        <v>371</v>
      </c>
      <c r="N963">
        <f>SalesTable[[#This Row],[الكمية]]*SalesTable[[#This Row],[سعر الوحدة]]</f>
        <v>224000</v>
      </c>
      <c r="O963">
        <f>SalesTable[[#This Row],[الكمية]]*SalesTable[[#This Row],[سعر الوحدة]]*(1-SalesTable[[#This Row],[الخصم]])</f>
        <v>212800</v>
      </c>
    </row>
    <row r="964" spans="1:15" x14ac:dyDescent="0.3">
      <c r="A964">
        <v>10963</v>
      </c>
      <c r="B964" t="s">
        <v>62</v>
      </c>
      <c r="C964" s="3">
        <v>46348</v>
      </c>
      <c r="D964" t="s">
        <v>95</v>
      </c>
      <c r="E964" t="s">
        <v>15</v>
      </c>
      <c r="F964" t="s">
        <v>31</v>
      </c>
      <c r="G964" t="s">
        <v>32</v>
      </c>
      <c r="H964">
        <v>5</v>
      </c>
      <c r="I964">
        <v>5200</v>
      </c>
      <c r="J964">
        <v>0.1</v>
      </c>
      <c r="K964" t="s">
        <v>55</v>
      </c>
      <c r="L964" t="s">
        <v>34</v>
      </c>
      <c r="M964" t="s">
        <v>326</v>
      </c>
      <c r="N964">
        <f>SalesTable[[#This Row],[الكمية]]*SalesTable[[#This Row],[سعر الوحدة]]</f>
        <v>26000</v>
      </c>
      <c r="O964">
        <f>SalesTable[[#This Row],[الكمية]]*SalesTable[[#This Row],[سعر الوحدة]]*(1-SalesTable[[#This Row],[الخصم]])</f>
        <v>23400</v>
      </c>
    </row>
    <row r="965" spans="1:15" x14ac:dyDescent="0.3">
      <c r="A965">
        <v>10964</v>
      </c>
      <c r="B965" t="s">
        <v>62</v>
      </c>
      <c r="C965" s="3">
        <v>46248</v>
      </c>
      <c r="D965" t="s">
        <v>104</v>
      </c>
      <c r="E965" t="s">
        <v>23</v>
      </c>
      <c r="F965" t="s">
        <v>49</v>
      </c>
      <c r="G965" t="s">
        <v>98</v>
      </c>
      <c r="H965">
        <v>7</v>
      </c>
      <c r="I965">
        <v>28000</v>
      </c>
      <c r="J965">
        <v>0.03</v>
      </c>
      <c r="K965" t="s">
        <v>33</v>
      </c>
      <c r="L965" t="s">
        <v>47</v>
      </c>
      <c r="M965" t="s">
        <v>196</v>
      </c>
      <c r="N965">
        <f>SalesTable[[#This Row],[الكمية]]*SalesTable[[#This Row],[سعر الوحدة]]</f>
        <v>196000</v>
      </c>
      <c r="O965">
        <f>SalesTable[[#This Row],[الكمية]]*SalesTable[[#This Row],[سعر الوحدة]]*(1-SalesTable[[#This Row],[الخصم]])</f>
        <v>190120</v>
      </c>
    </row>
    <row r="966" spans="1:15" x14ac:dyDescent="0.3">
      <c r="A966">
        <v>10965</v>
      </c>
      <c r="B966" t="s">
        <v>44</v>
      </c>
      <c r="C966" s="3">
        <v>46176</v>
      </c>
      <c r="D966" t="s">
        <v>68</v>
      </c>
      <c r="E966" t="s">
        <v>46</v>
      </c>
      <c r="F966" t="s">
        <v>59</v>
      </c>
      <c r="G966" t="s">
        <v>60</v>
      </c>
      <c r="H966">
        <v>7</v>
      </c>
      <c r="I966">
        <v>1400</v>
      </c>
      <c r="J966">
        <v>7.0000000000000007E-2</v>
      </c>
      <c r="K966" t="s">
        <v>55</v>
      </c>
      <c r="L966" t="s">
        <v>26</v>
      </c>
      <c r="M966" t="s">
        <v>180</v>
      </c>
      <c r="N966">
        <f>SalesTable[[#This Row],[الكمية]]*SalesTable[[#This Row],[سعر الوحدة]]</f>
        <v>9800</v>
      </c>
      <c r="O966">
        <f>SalesTable[[#This Row],[الكمية]]*SalesTable[[#This Row],[سعر الوحدة]]*(1-SalesTable[[#This Row],[الخصم]])</f>
        <v>9114</v>
      </c>
    </row>
    <row r="967" spans="1:15" x14ac:dyDescent="0.3">
      <c r="A967">
        <v>10966</v>
      </c>
      <c r="B967" t="s">
        <v>36</v>
      </c>
      <c r="C967" s="3">
        <v>46310</v>
      </c>
      <c r="D967" t="s">
        <v>29</v>
      </c>
      <c r="E967" t="s">
        <v>30</v>
      </c>
      <c r="F967" t="s">
        <v>59</v>
      </c>
      <c r="G967" t="s">
        <v>105</v>
      </c>
      <c r="H967">
        <v>8</v>
      </c>
      <c r="I967">
        <v>7500</v>
      </c>
      <c r="J967">
        <v>0.05</v>
      </c>
      <c r="K967" t="s">
        <v>33</v>
      </c>
      <c r="L967" t="s">
        <v>19</v>
      </c>
      <c r="M967" t="s">
        <v>106</v>
      </c>
      <c r="N967">
        <f>SalesTable[[#This Row],[الكمية]]*SalesTable[[#This Row],[سعر الوحدة]]</f>
        <v>60000</v>
      </c>
      <c r="O967">
        <f>SalesTable[[#This Row],[الكمية]]*SalesTable[[#This Row],[سعر الوحدة]]*(1-SalesTable[[#This Row],[الخصم]])</f>
        <v>57000</v>
      </c>
    </row>
    <row r="968" spans="1:15" x14ac:dyDescent="0.3">
      <c r="A968">
        <v>10967</v>
      </c>
      <c r="B968" t="s">
        <v>28</v>
      </c>
      <c r="C968" s="3">
        <v>46029</v>
      </c>
      <c r="D968" t="s">
        <v>37</v>
      </c>
      <c r="E968" t="s">
        <v>23</v>
      </c>
      <c r="F968" t="s">
        <v>59</v>
      </c>
      <c r="G968" t="s">
        <v>60</v>
      </c>
      <c r="H968">
        <v>3</v>
      </c>
      <c r="I968">
        <v>32000</v>
      </c>
      <c r="J968">
        <v>0.03</v>
      </c>
      <c r="K968" t="s">
        <v>38</v>
      </c>
      <c r="L968" t="s">
        <v>47</v>
      </c>
      <c r="M968" t="s">
        <v>289</v>
      </c>
      <c r="N968">
        <f>SalesTable[[#This Row],[الكمية]]*SalesTable[[#This Row],[سعر الوحدة]]</f>
        <v>96000</v>
      </c>
      <c r="O968">
        <f>SalesTable[[#This Row],[الكمية]]*SalesTable[[#This Row],[سعر الوحدة]]*(1-SalesTable[[#This Row],[الخصم]])</f>
        <v>93120</v>
      </c>
    </row>
    <row r="969" spans="1:15" x14ac:dyDescent="0.3">
      <c r="A969">
        <v>10968</v>
      </c>
      <c r="B969" t="s">
        <v>62</v>
      </c>
      <c r="C969" s="3">
        <v>46180</v>
      </c>
      <c r="D969" t="s">
        <v>90</v>
      </c>
      <c r="E969" t="s">
        <v>91</v>
      </c>
      <c r="F969" t="s">
        <v>84</v>
      </c>
      <c r="G969" t="s">
        <v>85</v>
      </c>
      <c r="H969">
        <v>6</v>
      </c>
      <c r="I969">
        <v>6500</v>
      </c>
      <c r="J969">
        <v>7.0000000000000007E-2</v>
      </c>
      <c r="K969" t="s">
        <v>18</v>
      </c>
      <c r="L969" t="s">
        <v>47</v>
      </c>
      <c r="M969" t="s">
        <v>115</v>
      </c>
      <c r="N969">
        <f>SalesTable[[#This Row],[الكمية]]*SalesTable[[#This Row],[سعر الوحدة]]</f>
        <v>39000</v>
      </c>
      <c r="O969">
        <f>SalesTable[[#This Row],[الكمية]]*SalesTable[[#This Row],[سعر الوحدة]]*(1-SalesTable[[#This Row],[الخصم]])</f>
        <v>36270</v>
      </c>
    </row>
    <row r="970" spans="1:15" x14ac:dyDescent="0.3">
      <c r="A970">
        <v>10969</v>
      </c>
      <c r="B970" t="s">
        <v>13</v>
      </c>
      <c r="C970" s="3">
        <v>46246</v>
      </c>
      <c r="D970" t="s">
        <v>90</v>
      </c>
      <c r="E970" t="s">
        <v>91</v>
      </c>
      <c r="F970" t="s">
        <v>16</v>
      </c>
      <c r="G970" t="s">
        <v>189</v>
      </c>
      <c r="H970">
        <v>10</v>
      </c>
      <c r="I970">
        <v>6500</v>
      </c>
      <c r="J970">
        <v>0.03</v>
      </c>
      <c r="K970" t="s">
        <v>38</v>
      </c>
      <c r="L970" t="s">
        <v>34</v>
      </c>
      <c r="M970" t="s">
        <v>235</v>
      </c>
      <c r="N970">
        <f>SalesTable[[#This Row],[الكمية]]*SalesTable[[#This Row],[سعر الوحدة]]</f>
        <v>65000</v>
      </c>
      <c r="O970">
        <f>SalesTable[[#This Row],[الكمية]]*SalesTable[[#This Row],[سعر الوحدة]]*(1-SalesTable[[#This Row],[الخصم]])</f>
        <v>63050</v>
      </c>
    </row>
    <row r="971" spans="1:15" x14ac:dyDescent="0.3">
      <c r="A971">
        <v>10970</v>
      </c>
      <c r="B971" t="s">
        <v>28</v>
      </c>
      <c r="C971" s="3">
        <v>46356</v>
      </c>
      <c r="D971" t="s">
        <v>81</v>
      </c>
      <c r="E971" t="s">
        <v>41</v>
      </c>
      <c r="F971" t="s">
        <v>59</v>
      </c>
      <c r="G971" t="s">
        <v>75</v>
      </c>
      <c r="H971">
        <v>6</v>
      </c>
      <c r="I971">
        <v>2200</v>
      </c>
      <c r="J971">
        <v>0.15</v>
      </c>
      <c r="K971" t="s">
        <v>33</v>
      </c>
      <c r="L971" t="s">
        <v>47</v>
      </c>
      <c r="M971" t="s">
        <v>78</v>
      </c>
      <c r="N971">
        <f>SalesTable[[#This Row],[الكمية]]*SalesTable[[#This Row],[سعر الوحدة]]</f>
        <v>13200</v>
      </c>
      <c r="O971">
        <f>SalesTable[[#This Row],[الكمية]]*SalesTable[[#This Row],[سعر الوحدة]]*(1-SalesTable[[#This Row],[الخصم]])</f>
        <v>11220</v>
      </c>
    </row>
    <row r="972" spans="1:15" x14ac:dyDescent="0.3">
      <c r="A972">
        <v>10971</v>
      </c>
      <c r="B972" t="s">
        <v>28</v>
      </c>
      <c r="C972" s="3">
        <v>46380</v>
      </c>
      <c r="D972" t="s">
        <v>45</v>
      </c>
      <c r="E972" t="s">
        <v>46</v>
      </c>
      <c r="F972" t="s">
        <v>59</v>
      </c>
      <c r="G972" t="s">
        <v>60</v>
      </c>
      <c r="H972">
        <v>6</v>
      </c>
      <c r="I972">
        <v>1200</v>
      </c>
      <c r="J972">
        <v>0.15</v>
      </c>
      <c r="K972" t="s">
        <v>55</v>
      </c>
      <c r="L972" t="s">
        <v>34</v>
      </c>
      <c r="M972" t="s">
        <v>273</v>
      </c>
      <c r="N972">
        <f>SalesTable[[#This Row],[الكمية]]*SalesTable[[#This Row],[سعر الوحدة]]</f>
        <v>7200</v>
      </c>
      <c r="O972">
        <f>SalesTable[[#This Row],[الكمية]]*SalesTable[[#This Row],[سعر الوحدة]]*(1-SalesTable[[#This Row],[الخصم]])</f>
        <v>6120</v>
      </c>
    </row>
    <row r="973" spans="1:15" x14ac:dyDescent="0.3">
      <c r="A973">
        <v>10972</v>
      </c>
      <c r="B973" t="s">
        <v>94</v>
      </c>
      <c r="C973" s="3">
        <v>46362</v>
      </c>
      <c r="D973" t="s">
        <v>14</v>
      </c>
      <c r="E973" t="s">
        <v>15</v>
      </c>
      <c r="F973" t="s">
        <v>64</v>
      </c>
      <c r="G973" t="s">
        <v>107</v>
      </c>
      <c r="H973">
        <v>4</v>
      </c>
      <c r="I973">
        <v>650</v>
      </c>
      <c r="J973">
        <v>0.1</v>
      </c>
      <c r="K973" t="s">
        <v>55</v>
      </c>
      <c r="L973" t="s">
        <v>19</v>
      </c>
      <c r="M973" t="s">
        <v>331</v>
      </c>
      <c r="N973">
        <f>SalesTable[[#This Row],[الكمية]]*SalesTable[[#This Row],[سعر الوحدة]]</f>
        <v>2600</v>
      </c>
      <c r="O973">
        <f>SalesTable[[#This Row],[الكمية]]*SalesTable[[#This Row],[سعر الوحدة]]*(1-SalesTable[[#This Row],[الخصم]])</f>
        <v>2340</v>
      </c>
    </row>
    <row r="974" spans="1:15" x14ac:dyDescent="0.3">
      <c r="A974">
        <v>10973</v>
      </c>
      <c r="B974" t="s">
        <v>94</v>
      </c>
      <c r="C974" s="3">
        <v>46064</v>
      </c>
      <c r="D974" t="s">
        <v>40</v>
      </c>
      <c r="E974" t="s">
        <v>41</v>
      </c>
      <c r="F974" t="s">
        <v>16</v>
      </c>
      <c r="G974" t="s">
        <v>189</v>
      </c>
      <c r="H974">
        <v>7</v>
      </c>
      <c r="I974">
        <v>150</v>
      </c>
      <c r="J974">
        <v>0.15</v>
      </c>
      <c r="K974" t="s">
        <v>55</v>
      </c>
      <c r="L974" t="s">
        <v>47</v>
      </c>
      <c r="M974" t="s">
        <v>229</v>
      </c>
      <c r="N974">
        <f>SalesTable[[#This Row],[الكمية]]*SalesTable[[#This Row],[سعر الوحدة]]</f>
        <v>1050</v>
      </c>
      <c r="O974">
        <f>SalesTable[[#This Row],[الكمية]]*SalesTable[[#This Row],[سعر الوحدة]]*(1-SalesTable[[#This Row],[الخصم]])</f>
        <v>892.5</v>
      </c>
    </row>
    <row r="975" spans="1:15" x14ac:dyDescent="0.3">
      <c r="A975">
        <v>10974</v>
      </c>
      <c r="B975" t="s">
        <v>21</v>
      </c>
      <c r="C975" s="3">
        <v>46360</v>
      </c>
      <c r="D975" t="s">
        <v>68</v>
      </c>
      <c r="E975" t="s">
        <v>46</v>
      </c>
      <c r="F975" t="s">
        <v>84</v>
      </c>
      <c r="G975" t="s">
        <v>85</v>
      </c>
      <c r="H975">
        <v>5</v>
      </c>
      <c r="I975">
        <v>1400</v>
      </c>
      <c r="J975">
        <v>0.1</v>
      </c>
      <c r="K975" t="s">
        <v>33</v>
      </c>
      <c r="L975" t="s">
        <v>34</v>
      </c>
      <c r="M975" t="s">
        <v>194</v>
      </c>
      <c r="N975">
        <f>SalesTable[[#This Row],[الكمية]]*SalesTable[[#This Row],[سعر الوحدة]]</f>
        <v>7000</v>
      </c>
      <c r="O975">
        <f>SalesTable[[#This Row],[الكمية]]*SalesTable[[#This Row],[سعر الوحدة]]*(1-SalesTable[[#This Row],[الخصم]])</f>
        <v>6300</v>
      </c>
    </row>
    <row r="976" spans="1:15" x14ac:dyDescent="0.3">
      <c r="A976">
        <v>10975</v>
      </c>
      <c r="B976" t="s">
        <v>112</v>
      </c>
      <c r="C976" s="3">
        <v>46160</v>
      </c>
      <c r="D976" t="s">
        <v>40</v>
      </c>
      <c r="E976" t="s">
        <v>41</v>
      </c>
      <c r="F976" t="s">
        <v>16</v>
      </c>
      <c r="G976" t="s">
        <v>17</v>
      </c>
      <c r="H976">
        <v>10</v>
      </c>
      <c r="I976">
        <v>150</v>
      </c>
      <c r="J976">
        <v>0.05</v>
      </c>
      <c r="K976" t="s">
        <v>55</v>
      </c>
      <c r="L976" t="s">
        <v>47</v>
      </c>
      <c r="M976" t="s">
        <v>72</v>
      </c>
      <c r="N976">
        <f>SalesTable[[#This Row],[الكمية]]*SalesTable[[#This Row],[سعر الوحدة]]</f>
        <v>1500</v>
      </c>
      <c r="O976">
        <f>SalesTable[[#This Row],[الكمية]]*SalesTable[[#This Row],[سعر الوحدة]]*(1-SalesTable[[#This Row],[الخصم]])</f>
        <v>1425</v>
      </c>
    </row>
    <row r="977" spans="1:15" x14ac:dyDescent="0.3">
      <c r="A977">
        <v>10976</v>
      </c>
      <c r="B977" t="s">
        <v>44</v>
      </c>
      <c r="C977" s="3">
        <v>46379</v>
      </c>
      <c r="D977" t="s">
        <v>22</v>
      </c>
      <c r="E977" t="s">
        <v>23</v>
      </c>
      <c r="F977" t="s">
        <v>64</v>
      </c>
      <c r="G977" t="s">
        <v>65</v>
      </c>
      <c r="H977">
        <v>1</v>
      </c>
      <c r="I977">
        <v>25000</v>
      </c>
      <c r="J977">
        <v>0</v>
      </c>
      <c r="K977" t="s">
        <v>33</v>
      </c>
      <c r="L977" t="s">
        <v>47</v>
      </c>
      <c r="M977" t="s">
        <v>218</v>
      </c>
      <c r="N977">
        <f>SalesTable[[#This Row],[الكمية]]*SalesTable[[#This Row],[سعر الوحدة]]</f>
        <v>25000</v>
      </c>
      <c r="O977">
        <f>SalesTable[[#This Row],[الكمية]]*SalesTable[[#This Row],[سعر الوحدة]]*(1-SalesTable[[#This Row],[الخصم]])</f>
        <v>25000</v>
      </c>
    </row>
    <row r="978" spans="1:15" x14ac:dyDescent="0.3">
      <c r="A978">
        <v>10977</v>
      </c>
      <c r="B978" t="s">
        <v>112</v>
      </c>
      <c r="C978" s="3">
        <v>46383</v>
      </c>
      <c r="D978" t="s">
        <v>81</v>
      </c>
      <c r="E978" t="s">
        <v>41</v>
      </c>
      <c r="F978" t="s">
        <v>84</v>
      </c>
      <c r="G978" t="s">
        <v>120</v>
      </c>
      <c r="H978">
        <v>3</v>
      </c>
      <c r="I978">
        <v>2200</v>
      </c>
      <c r="J978">
        <v>0.05</v>
      </c>
      <c r="K978" t="s">
        <v>55</v>
      </c>
      <c r="L978" t="s">
        <v>26</v>
      </c>
      <c r="M978" t="s">
        <v>256</v>
      </c>
      <c r="N978">
        <f>SalesTable[[#This Row],[الكمية]]*SalesTable[[#This Row],[سعر الوحدة]]</f>
        <v>6600</v>
      </c>
      <c r="O978">
        <f>SalesTable[[#This Row],[الكمية]]*SalesTable[[#This Row],[سعر الوحدة]]*(1-SalesTable[[#This Row],[الخصم]])</f>
        <v>6270</v>
      </c>
    </row>
    <row r="979" spans="1:15" x14ac:dyDescent="0.3">
      <c r="A979">
        <v>10978</v>
      </c>
      <c r="B979" t="s">
        <v>112</v>
      </c>
      <c r="C979" s="3">
        <v>46125</v>
      </c>
      <c r="D979" t="s">
        <v>37</v>
      </c>
      <c r="E979" t="s">
        <v>23</v>
      </c>
      <c r="F979" t="s">
        <v>16</v>
      </c>
      <c r="G979" t="s">
        <v>189</v>
      </c>
      <c r="H979">
        <v>10</v>
      </c>
      <c r="I979">
        <v>32000</v>
      </c>
      <c r="J979">
        <v>0.03</v>
      </c>
      <c r="K979" t="s">
        <v>18</v>
      </c>
      <c r="L979" t="s">
        <v>26</v>
      </c>
      <c r="M979" t="s">
        <v>147</v>
      </c>
      <c r="N979">
        <f>SalesTable[[#This Row],[الكمية]]*SalesTable[[#This Row],[سعر الوحدة]]</f>
        <v>320000</v>
      </c>
      <c r="O979">
        <f>SalesTable[[#This Row],[الكمية]]*SalesTable[[#This Row],[سعر الوحدة]]*(1-SalesTable[[#This Row],[الخصم]])</f>
        <v>310400</v>
      </c>
    </row>
    <row r="980" spans="1:15" x14ac:dyDescent="0.3">
      <c r="A980">
        <v>10979</v>
      </c>
      <c r="B980" t="s">
        <v>112</v>
      </c>
      <c r="C980" s="3">
        <v>46063</v>
      </c>
      <c r="D980" t="s">
        <v>110</v>
      </c>
      <c r="E980" t="s">
        <v>46</v>
      </c>
      <c r="F980" t="s">
        <v>84</v>
      </c>
      <c r="G980" t="s">
        <v>85</v>
      </c>
      <c r="H980">
        <v>10</v>
      </c>
      <c r="I980">
        <v>450</v>
      </c>
      <c r="J980">
        <v>0</v>
      </c>
      <c r="K980" t="s">
        <v>38</v>
      </c>
      <c r="L980" t="s">
        <v>19</v>
      </c>
      <c r="M980" t="s">
        <v>324</v>
      </c>
      <c r="N980">
        <f>SalesTable[[#This Row],[الكمية]]*SalesTable[[#This Row],[سعر الوحدة]]</f>
        <v>4500</v>
      </c>
      <c r="O980">
        <f>SalesTable[[#This Row],[الكمية]]*SalesTable[[#This Row],[سعر الوحدة]]*(1-SalesTable[[#This Row],[الخصم]])</f>
        <v>4500</v>
      </c>
    </row>
    <row r="981" spans="1:15" x14ac:dyDescent="0.3">
      <c r="A981">
        <v>10980</v>
      </c>
      <c r="B981" t="s">
        <v>94</v>
      </c>
      <c r="C981" s="3">
        <v>46143</v>
      </c>
      <c r="D981" t="s">
        <v>104</v>
      </c>
      <c r="E981" t="s">
        <v>23</v>
      </c>
      <c r="F981" t="s">
        <v>87</v>
      </c>
      <c r="G981" t="s">
        <v>101</v>
      </c>
      <c r="H981">
        <v>6</v>
      </c>
      <c r="I981">
        <v>28000</v>
      </c>
      <c r="J981">
        <v>0</v>
      </c>
      <c r="K981" t="s">
        <v>33</v>
      </c>
      <c r="L981" t="s">
        <v>47</v>
      </c>
      <c r="M981" t="s">
        <v>240</v>
      </c>
      <c r="N981">
        <f>SalesTable[[#This Row],[الكمية]]*SalesTable[[#This Row],[سعر الوحدة]]</f>
        <v>168000</v>
      </c>
      <c r="O981">
        <f>SalesTable[[#This Row],[الكمية]]*SalesTable[[#This Row],[سعر الوحدة]]*(1-SalesTable[[#This Row],[الخصم]])</f>
        <v>168000</v>
      </c>
    </row>
    <row r="982" spans="1:15" x14ac:dyDescent="0.3">
      <c r="A982">
        <v>10981</v>
      </c>
      <c r="B982" t="s">
        <v>94</v>
      </c>
      <c r="C982" s="3">
        <v>46044</v>
      </c>
      <c r="D982" t="s">
        <v>22</v>
      </c>
      <c r="E982" t="s">
        <v>23</v>
      </c>
      <c r="F982" t="s">
        <v>24</v>
      </c>
      <c r="G982" t="s">
        <v>57</v>
      </c>
      <c r="H982">
        <v>1</v>
      </c>
      <c r="I982">
        <v>25000</v>
      </c>
      <c r="J982">
        <v>0.15</v>
      </c>
      <c r="K982" t="s">
        <v>18</v>
      </c>
      <c r="L982" t="s">
        <v>26</v>
      </c>
      <c r="M982" t="s">
        <v>362</v>
      </c>
      <c r="N982">
        <f>SalesTable[[#This Row],[الكمية]]*SalesTable[[#This Row],[سعر الوحدة]]</f>
        <v>25000</v>
      </c>
      <c r="O982">
        <f>SalesTable[[#This Row],[الكمية]]*SalesTable[[#This Row],[سعر الوحدة]]*(1-SalesTable[[#This Row],[الخصم]])</f>
        <v>21250</v>
      </c>
    </row>
    <row r="983" spans="1:15" x14ac:dyDescent="0.3">
      <c r="A983">
        <v>10982</v>
      </c>
      <c r="B983" t="s">
        <v>52</v>
      </c>
      <c r="C983" s="3">
        <v>46271</v>
      </c>
      <c r="D983" t="s">
        <v>40</v>
      </c>
      <c r="E983" t="s">
        <v>41</v>
      </c>
      <c r="F983" t="s">
        <v>24</v>
      </c>
      <c r="G983" t="s">
        <v>42</v>
      </c>
      <c r="H983">
        <v>10</v>
      </c>
      <c r="I983">
        <v>150</v>
      </c>
      <c r="J983">
        <v>0.1</v>
      </c>
      <c r="K983" t="s">
        <v>33</v>
      </c>
      <c r="L983" t="s">
        <v>34</v>
      </c>
      <c r="M983" t="s">
        <v>135</v>
      </c>
      <c r="N983">
        <f>SalesTable[[#This Row],[الكمية]]*SalesTable[[#This Row],[سعر الوحدة]]</f>
        <v>1500</v>
      </c>
      <c r="O983">
        <f>SalesTable[[#This Row],[الكمية]]*SalesTable[[#This Row],[سعر الوحدة]]*(1-SalesTable[[#This Row],[الخصم]])</f>
        <v>1350</v>
      </c>
    </row>
    <row r="984" spans="1:15" x14ac:dyDescent="0.3">
      <c r="A984">
        <v>10983</v>
      </c>
      <c r="B984" t="s">
        <v>13</v>
      </c>
      <c r="C984" s="3">
        <v>46207</v>
      </c>
      <c r="D984" t="s">
        <v>70</v>
      </c>
      <c r="E984" t="s">
        <v>46</v>
      </c>
      <c r="F984" t="s">
        <v>49</v>
      </c>
      <c r="G984" t="s">
        <v>122</v>
      </c>
      <c r="H984">
        <v>6</v>
      </c>
      <c r="I984">
        <v>1800</v>
      </c>
      <c r="J984">
        <v>0.05</v>
      </c>
      <c r="K984" t="s">
        <v>33</v>
      </c>
      <c r="L984" t="s">
        <v>47</v>
      </c>
      <c r="M984" t="s">
        <v>92</v>
      </c>
      <c r="N984">
        <f>SalesTable[[#This Row],[الكمية]]*SalesTable[[#This Row],[سعر الوحدة]]</f>
        <v>10800</v>
      </c>
      <c r="O984">
        <f>SalesTable[[#This Row],[الكمية]]*SalesTable[[#This Row],[سعر الوحدة]]*(1-SalesTable[[#This Row],[الخصم]])</f>
        <v>10260</v>
      </c>
    </row>
    <row r="985" spans="1:15" x14ac:dyDescent="0.3">
      <c r="A985">
        <v>10984</v>
      </c>
      <c r="B985" t="s">
        <v>36</v>
      </c>
      <c r="C985" s="3">
        <v>46094</v>
      </c>
      <c r="D985" t="s">
        <v>70</v>
      </c>
      <c r="E985" t="s">
        <v>46</v>
      </c>
      <c r="F985" t="s">
        <v>49</v>
      </c>
      <c r="G985" t="s">
        <v>50</v>
      </c>
      <c r="H985">
        <v>1</v>
      </c>
      <c r="I985">
        <v>1800</v>
      </c>
      <c r="J985">
        <v>7.0000000000000007E-2</v>
      </c>
      <c r="K985" t="s">
        <v>18</v>
      </c>
      <c r="L985" t="s">
        <v>19</v>
      </c>
      <c r="M985" t="s">
        <v>191</v>
      </c>
      <c r="N985">
        <f>SalesTable[[#This Row],[الكمية]]*SalesTable[[#This Row],[سعر الوحدة]]</f>
        <v>1800</v>
      </c>
      <c r="O985">
        <f>SalesTable[[#This Row],[الكمية]]*SalesTable[[#This Row],[سعر الوحدة]]*(1-SalesTable[[#This Row],[الخصم]])</f>
        <v>1674</v>
      </c>
    </row>
    <row r="986" spans="1:15" x14ac:dyDescent="0.3">
      <c r="A986">
        <v>10985</v>
      </c>
      <c r="B986" t="s">
        <v>62</v>
      </c>
      <c r="C986" s="3">
        <v>46286</v>
      </c>
      <c r="D986" t="s">
        <v>110</v>
      </c>
      <c r="E986" t="s">
        <v>46</v>
      </c>
      <c r="F986" t="s">
        <v>31</v>
      </c>
      <c r="G986" t="s">
        <v>32</v>
      </c>
      <c r="H986">
        <v>8</v>
      </c>
      <c r="I986">
        <v>450</v>
      </c>
      <c r="J986">
        <v>0.1</v>
      </c>
      <c r="K986" t="s">
        <v>33</v>
      </c>
      <c r="L986" t="s">
        <v>26</v>
      </c>
      <c r="M986" t="s">
        <v>246</v>
      </c>
      <c r="N986">
        <f>SalesTable[[#This Row],[الكمية]]*SalesTable[[#This Row],[سعر الوحدة]]</f>
        <v>3600</v>
      </c>
      <c r="O986">
        <f>SalesTable[[#This Row],[الكمية]]*SalesTable[[#This Row],[سعر الوحدة]]*(1-SalesTable[[#This Row],[الخصم]])</f>
        <v>3240</v>
      </c>
    </row>
    <row r="987" spans="1:15" x14ac:dyDescent="0.3">
      <c r="A987">
        <v>10986</v>
      </c>
      <c r="B987" t="s">
        <v>67</v>
      </c>
      <c r="C987" s="3">
        <v>46370</v>
      </c>
      <c r="D987" t="s">
        <v>14</v>
      </c>
      <c r="E987" t="s">
        <v>15</v>
      </c>
      <c r="F987" t="s">
        <v>49</v>
      </c>
      <c r="G987" t="s">
        <v>50</v>
      </c>
      <c r="H987">
        <v>6</v>
      </c>
      <c r="I987">
        <v>650</v>
      </c>
      <c r="J987">
        <v>0</v>
      </c>
      <c r="K987" t="s">
        <v>33</v>
      </c>
      <c r="L987" t="s">
        <v>26</v>
      </c>
      <c r="M987" t="s">
        <v>82</v>
      </c>
      <c r="N987">
        <f>SalesTable[[#This Row],[الكمية]]*SalesTable[[#This Row],[سعر الوحدة]]</f>
        <v>3900</v>
      </c>
      <c r="O987">
        <f>SalesTable[[#This Row],[الكمية]]*SalesTable[[#This Row],[سعر الوحدة]]*(1-SalesTable[[#This Row],[الخصم]])</f>
        <v>3900</v>
      </c>
    </row>
    <row r="988" spans="1:15" x14ac:dyDescent="0.3">
      <c r="A988">
        <v>10987</v>
      </c>
      <c r="B988" t="s">
        <v>44</v>
      </c>
      <c r="C988" s="3">
        <v>46220</v>
      </c>
      <c r="D988" t="s">
        <v>29</v>
      </c>
      <c r="E988" t="s">
        <v>30</v>
      </c>
      <c r="F988" t="s">
        <v>16</v>
      </c>
      <c r="G988" t="s">
        <v>79</v>
      </c>
      <c r="H988">
        <v>7</v>
      </c>
      <c r="I988">
        <v>7500</v>
      </c>
      <c r="J988">
        <v>7.0000000000000007E-2</v>
      </c>
      <c r="K988" t="s">
        <v>38</v>
      </c>
      <c r="L988" t="s">
        <v>26</v>
      </c>
      <c r="M988" t="s">
        <v>225</v>
      </c>
      <c r="N988">
        <f>SalesTable[[#This Row],[الكمية]]*SalesTable[[#This Row],[سعر الوحدة]]</f>
        <v>52500</v>
      </c>
      <c r="O988">
        <f>SalesTable[[#This Row],[الكمية]]*SalesTable[[#This Row],[سعر الوحدة]]*(1-SalesTable[[#This Row],[الخصم]])</f>
        <v>48825</v>
      </c>
    </row>
    <row r="989" spans="1:15" x14ac:dyDescent="0.3">
      <c r="A989">
        <v>10988</v>
      </c>
      <c r="B989" t="s">
        <v>52</v>
      </c>
      <c r="C989" s="3">
        <v>46367</v>
      </c>
      <c r="D989" t="s">
        <v>68</v>
      </c>
      <c r="E989" t="s">
        <v>46</v>
      </c>
      <c r="F989" t="s">
        <v>24</v>
      </c>
      <c r="G989" t="s">
        <v>73</v>
      </c>
      <c r="H989">
        <v>8</v>
      </c>
      <c r="I989">
        <v>1400</v>
      </c>
      <c r="J989">
        <v>0</v>
      </c>
      <c r="K989" t="s">
        <v>33</v>
      </c>
      <c r="L989" t="s">
        <v>26</v>
      </c>
      <c r="M989" t="s">
        <v>166</v>
      </c>
      <c r="N989">
        <f>SalesTable[[#This Row],[الكمية]]*SalesTable[[#This Row],[سعر الوحدة]]</f>
        <v>11200</v>
      </c>
      <c r="O989">
        <f>SalesTable[[#This Row],[الكمية]]*SalesTable[[#This Row],[سعر الوحدة]]*(1-SalesTable[[#This Row],[الخصم]])</f>
        <v>11200</v>
      </c>
    </row>
    <row r="990" spans="1:15" x14ac:dyDescent="0.3">
      <c r="A990">
        <v>10989</v>
      </c>
      <c r="B990" t="s">
        <v>13</v>
      </c>
      <c r="C990" s="3">
        <v>46131</v>
      </c>
      <c r="D990" t="s">
        <v>104</v>
      </c>
      <c r="E990" t="s">
        <v>23</v>
      </c>
      <c r="F990" t="s">
        <v>59</v>
      </c>
      <c r="G990" t="s">
        <v>75</v>
      </c>
      <c r="H990">
        <v>9</v>
      </c>
      <c r="I990">
        <v>28000</v>
      </c>
      <c r="J990">
        <v>0.03</v>
      </c>
      <c r="K990" t="s">
        <v>55</v>
      </c>
      <c r="L990" t="s">
        <v>19</v>
      </c>
      <c r="M990" t="s">
        <v>313</v>
      </c>
      <c r="N990">
        <f>SalesTable[[#This Row],[الكمية]]*SalesTable[[#This Row],[سعر الوحدة]]</f>
        <v>252000</v>
      </c>
      <c r="O990">
        <f>SalesTable[[#This Row],[الكمية]]*SalesTable[[#This Row],[سعر الوحدة]]*(1-SalesTable[[#This Row],[الخصم]])</f>
        <v>244440</v>
      </c>
    </row>
    <row r="991" spans="1:15" x14ac:dyDescent="0.3">
      <c r="A991">
        <v>10990</v>
      </c>
      <c r="B991" t="s">
        <v>52</v>
      </c>
      <c r="C991" s="3">
        <v>46135</v>
      </c>
      <c r="D991" t="s">
        <v>29</v>
      </c>
      <c r="E991" t="s">
        <v>30</v>
      </c>
      <c r="F991" t="s">
        <v>24</v>
      </c>
      <c r="G991" t="s">
        <v>73</v>
      </c>
      <c r="H991">
        <v>6</v>
      </c>
      <c r="I991">
        <v>7500</v>
      </c>
      <c r="J991">
        <v>7.0000000000000007E-2</v>
      </c>
      <c r="K991" t="s">
        <v>38</v>
      </c>
      <c r="L991" t="s">
        <v>47</v>
      </c>
      <c r="M991" t="s">
        <v>156</v>
      </c>
      <c r="N991">
        <f>SalesTable[[#This Row],[الكمية]]*SalesTable[[#This Row],[سعر الوحدة]]</f>
        <v>45000</v>
      </c>
      <c r="O991">
        <f>SalesTable[[#This Row],[الكمية]]*SalesTable[[#This Row],[سعر الوحدة]]*(1-SalesTable[[#This Row],[الخصم]])</f>
        <v>41850</v>
      </c>
    </row>
    <row r="992" spans="1:15" x14ac:dyDescent="0.3">
      <c r="A992">
        <v>10991</v>
      </c>
      <c r="B992" t="s">
        <v>67</v>
      </c>
      <c r="C992" s="3">
        <v>46137</v>
      </c>
      <c r="D992" t="s">
        <v>14</v>
      </c>
      <c r="E992" t="s">
        <v>15</v>
      </c>
      <c r="F992" t="s">
        <v>64</v>
      </c>
      <c r="G992" t="s">
        <v>65</v>
      </c>
      <c r="H992">
        <v>2</v>
      </c>
      <c r="I992">
        <v>650</v>
      </c>
      <c r="J992">
        <v>0.15</v>
      </c>
      <c r="K992" t="s">
        <v>18</v>
      </c>
      <c r="L992" t="s">
        <v>34</v>
      </c>
      <c r="M992" t="s">
        <v>324</v>
      </c>
      <c r="N992">
        <f>SalesTable[[#This Row],[الكمية]]*SalesTable[[#This Row],[سعر الوحدة]]</f>
        <v>1300</v>
      </c>
      <c r="O992">
        <f>SalesTable[[#This Row],[الكمية]]*SalesTable[[#This Row],[سعر الوحدة]]*(1-SalesTable[[#This Row],[الخصم]])</f>
        <v>1105</v>
      </c>
    </row>
    <row r="993" spans="1:15" x14ac:dyDescent="0.3">
      <c r="A993">
        <v>10992</v>
      </c>
      <c r="B993" t="s">
        <v>13</v>
      </c>
      <c r="C993" s="3">
        <v>46137</v>
      </c>
      <c r="D993" t="s">
        <v>90</v>
      </c>
      <c r="E993" t="s">
        <v>91</v>
      </c>
      <c r="F993" t="s">
        <v>84</v>
      </c>
      <c r="G993" t="s">
        <v>113</v>
      </c>
      <c r="H993">
        <v>9</v>
      </c>
      <c r="I993">
        <v>6500</v>
      </c>
      <c r="J993">
        <v>7.0000000000000007E-2</v>
      </c>
      <c r="K993" t="s">
        <v>38</v>
      </c>
      <c r="L993" t="s">
        <v>19</v>
      </c>
      <c r="M993" t="s">
        <v>201</v>
      </c>
      <c r="N993">
        <f>SalesTable[[#This Row],[الكمية]]*SalesTable[[#This Row],[سعر الوحدة]]</f>
        <v>58500</v>
      </c>
      <c r="O993">
        <f>SalesTable[[#This Row],[الكمية]]*SalesTable[[#This Row],[سعر الوحدة]]*(1-SalesTable[[#This Row],[الخصم]])</f>
        <v>54405</v>
      </c>
    </row>
    <row r="994" spans="1:15" x14ac:dyDescent="0.3">
      <c r="A994">
        <v>10993</v>
      </c>
      <c r="B994" t="s">
        <v>94</v>
      </c>
      <c r="C994" s="3">
        <v>46119</v>
      </c>
      <c r="D994" t="s">
        <v>104</v>
      </c>
      <c r="E994" t="s">
        <v>23</v>
      </c>
      <c r="F994" t="s">
        <v>16</v>
      </c>
      <c r="G994" t="s">
        <v>17</v>
      </c>
      <c r="H994">
        <v>6</v>
      </c>
      <c r="I994">
        <v>28000</v>
      </c>
      <c r="J994">
        <v>0.15</v>
      </c>
      <c r="K994" t="s">
        <v>18</v>
      </c>
      <c r="L994" t="s">
        <v>34</v>
      </c>
      <c r="M994" t="s">
        <v>74</v>
      </c>
      <c r="N994">
        <f>SalesTable[[#This Row],[الكمية]]*SalesTable[[#This Row],[سعر الوحدة]]</f>
        <v>168000</v>
      </c>
      <c r="O994">
        <f>SalesTable[[#This Row],[الكمية]]*SalesTable[[#This Row],[سعر الوحدة]]*(1-SalesTable[[#This Row],[الخصم]])</f>
        <v>142800</v>
      </c>
    </row>
    <row r="995" spans="1:15" x14ac:dyDescent="0.3">
      <c r="A995">
        <v>10994</v>
      </c>
      <c r="B995" t="s">
        <v>28</v>
      </c>
      <c r="C995" s="3">
        <v>46182</v>
      </c>
      <c r="D995" t="s">
        <v>68</v>
      </c>
      <c r="E995" t="s">
        <v>46</v>
      </c>
      <c r="F995" t="s">
        <v>49</v>
      </c>
      <c r="G995" t="s">
        <v>98</v>
      </c>
      <c r="H995">
        <v>10</v>
      </c>
      <c r="I995">
        <v>1400</v>
      </c>
      <c r="J995">
        <v>0.15</v>
      </c>
      <c r="K995" t="s">
        <v>18</v>
      </c>
      <c r="L995" t="s">
        <v>26</v>
      </c>
      <c r="M995" t="s">
        <v>292</v>
      </c>
      <c r="N995">
        <f>SalesTable[[#This Row],[الكمية]]*SalesTable[[#This Row],[سعر الوحدة]]</f>
        <v>14000</v>
      </c>
      <c r="O995">
        <f>SalesTable[[#This Row],[الكمية]]*SalesTable[[#This Row],[سعر الوحدة]]*(1-SalesTable[[#This Row],[الخصم]])</f>
        <v>11900</v>
      </c>
    </row>
    <row r="996" spans="1:15" x14ac:dyDescent="0.3">
      <c r="A996">
        <v>10995</v>
      </c>
      <c r="B996" t="s">
        <v>94</v>
      </c>
      <c r="C996" s="3">
        <v>46325</v>
      </c>
      <c r="D996" t="s">
        <v>29</v>
      </c>
      <c r="E996" t="s">
        <v>30</v>
      </c>
      <c r="F996" t="s">
        <v>49</v>
      </c>
      <c r="G996" t="s">
        <v>98</v>
      </c>
      <c r="H996">
        <v>3</v>
      </c>
      <c r="I996">
        <v>7500</v>
      </c>
      <c r="J996">
        <v>0.1</v>
      </c>
      <c r="K996" t="s">
        <v>55</v>
      </c>
      <c r="L996" t="s">
        <v>19</v>
      </c>
      <c r="M996" t="s">
        <v>323</v>
      </c>
      <c r="N996">
        <f>SalesTable[[#This Row],[الكمية]]*SalesTable[[#This Row],[سعر الوحدة]]</f>
        <v>22500</v>
      </c>
      <c r="O996">
        <f>SalesTable[[#This Row],[الكمية]]*SalesTable[[#This Row],[سعر الوحدة]]*(1-SalesTable[[#This Row],[الخصم]])</f>
        <v>20250</v>
      </c>
    </row>
    <row r="997" spans="1:15" x14ac:dyDescent="0.3">
      <c r="A997">
        <v>10996</v>
      </c>
      <c r="B997" t="s">
        <v>13</v>
      </c>
      <c r="C997" s="3">
        <v>46278</v>
      </c>
      <c r="D997" t="s">
        <v>22</v>
      </c>
      <c r="E997" t="s">
        <v>23</v>
      </c>
      <c r="F997" t="s">
        <v>59</v>
      </c>
      <c r="G997" t="s">
        <v>105</v>
      </c>
      <c r="H997">
        <v>3</v>
      </c>
      <c r="I997">
        <v>25000</v>
      </c>
      <c r="J997">
        <v>0.05</v>
      </c>
      <c r="K997" t="s">
        <v>33</v>
      </c>
      <c r="L997" t="s">
        <v>26</v>
      </c>
      <c r="M997" t="s">
        <v>212</v>
      </c>
      <c r="N997">
        <f>SalesTable[[#This Row],[الكمية]]*SalesTable[[#This Row],[سعر الوحدة]]</f>
        <v>75000</v>
      </c>
      <c r="O997">
        <f>SalesTable[[#This Row],[الكمية]]*SalesTable[[#This Row],[سعر الوحدة]]*(1-SalesTable[[#This Row],[الخصم]])</f>
        <v>71250</v>
      </c>
    </row>
    <row r="998" spans="1:15" x14ac:dyDescent="0.3">
      <c r="A998">
        <v>10997</v>
      </c>
      <c r="B998" t="s">
        <v>44</v>
      </c>
      <c r="C998" s="3">
        <v>46163</v>
      </c>
      <c r="D998" t="s">
        <v>37</v>
      </c>
      <c r="E998" t="s">
        <v>23</v>
      </c>
      <c r="F998" t="s">
        <v>24</v>
      </c>
      <c r="G998" t="s">
        <v>57</v>
      </c>
      <c r="H998">
        <v>5</v>
      </c>
      <c r="I998">
        <v>32000</v>
      </c>
      <c r="J998">
        <v>0.1</v>
      </c>
      <c r="K998" t="s">
        <v>33</v>
      </c>
      <c r="L998" t="s">
        <v>26</v>
      </c>
      <c r="M998" t="s">
        <v>127</v>
      </c>
      <c r="N998">
        <f>SalesTable[[#This Row],[الكمية]]*SalesTable[[#This Row],[سعر الوحدة]]</f>
        <v>160000</v>
      </c>
      <c r="O998">
        <f>SalesTable[[#This Row],[الكمية]]*SalesTable[[#This Row],[سعر الوحدة]]*(1-SalesTable[[#This Row],[الخصم]])</f>
        <v>144000</v>
      </c>
    </row>
    <row r="999" spans="1:15" x14ac:dyDescent="0.3">
      <c r="A999">
        <v>10998</v>
      </c>
      <c r="B999" t="s">
        <v>13</v>
      </c>
      <c r="C999" s="3">
        <v>46138</v>
      </c>
      <c r="D999" t="s">
        <v>110</v>
      </c>
      <c r="E999" t="s">
        <v>46</v>
      </c>
      <c r="F999" t="s">
        <v>84</v>
      </c>
      <c r="G999" t="s">
        <v>120</v>
      </c>
      <c r="H999">
        <v>6</v>
      </c>
      <c r="I999">
        <v>450</v>
      </c>
      <c r="J999">
        <v>0.03</v>
      </c>
      <c r="K999" t="s">
        <v>18</v>
      </c>
      <c r="L999" t="s">
        <v>26</v>
      </c>
      <c r="M999" t="s">
        <v>256</v>
      </c>
      <c r="N999">
        <f>SalesTable[[#This Row],[الكمية]]*SalesTable[[#This Row],[سعر الوحدة]]</f>
        <v>2700</v>
      </c>
      <c r="O999">
        <f>SalesTable[[#This Row],[الكمية]]*SalesTable[[#This Row],[سعر الوحدة]]*(1-SalesTable[[#This Row],[الخصم]])</f>
        <v>2619</v>
      </c>
    </row>
    <row r="1000" spans="1:15" x14ac:dyDescent="0.3">
      <c r="A1000">
        <v>10999</v>
      </c>
      <c r="B1000" t="s">
        <v>21</v>
      </c>
      <c r="C1000" s="3">
        <v>46223</v>
      </c>
      <c r="D1000" t="s">
        <v>81</v>
      </c>
      <c r="E1000" t="s">
        <v>41</v>
      </c>
      <c r="F1000" t="s">
        <v>84</v>
      </c>
      <c r="G1000" t="s">
        <v>85</v>
      </c>
      <c r="H1000">
        <v>3</v>
      </c>
      <c r="I1000">
        <v>2200</v>
      </c>
      <c r="J1000">
        <v>0</v>
      </c>
      <c r="K1000" t="s">
        <v>38</v>
      </c>
      <c r="L1000" t="s">
        <v>47</v>
      </c>
      <c r="M1000" t="s">
        <v>306</v>
      </c>
      <c r="N1000">
        <f>SalesTable[[#This Row],[الكمية]]*SalesTable[[#This Row],[سعر الوحدة]]</f>
        <v>6600</v>
      </c>
      <c r="O1000">
        <f>SalesTable[[#This Row],[الكمية]]*SalesTable[[#This Row],[سعر الوحدة]]*(1-SalesTable[[#This Row],[الخصم]])</f>
        <v>6600</v>
      </c>
    </row>
    <row r="1001" spans="1:15" x14ac:dyDescent="0.3">
      <c r="A1001">
        <v>11000</v>
      </c>
      <c r="B1001" t="s">
        <v>52</v>
      </c>
      <c r="C1001" s="3">
        <v>46167</v>
      </c>
      <c r="D1001" t="s">
        <v>70</v>
      </c>
      <c r="E1001" t="s">
        <v>46</v>
      </c>
      <c r="F1001" t="s">
        <v>84</v>
      </c>
      <c r="G1001" t="s">
        <v>85</v>
      </c>
      <c r="H1001">
        <v>2</v>
      </c>
      <c r="I1001">
        <v>1800</v>
      </c>
      <c r="J1001">
        <v>0.1</v>
      </c>
      <c r="K1001" t="s">
        <v>55</v>
      </c>
      <c r="L1001" t="s">
        <v>47</v>
      </c>
      <c r="M1001" t="s">
        <v>310</v>
      </c>
      <c r="N1001">
        <f>SalesTable[[#This Row],[الكمية]]*SalesTable[[#This Row],[سعر الوحدة]]</f>
        <v>3600</v>
      </c>
      <c r="O1001">
        <f>SalesTable[[#This Row],[الكمية]]*SalesTable[[#This Row],[سعر الوحدة]]*(1-SalesTable[[#This Row],[الخصم]])</f>
        <v>3240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Pivot_Analysis</vt:lpstr>
      <vt:lpstr>dashboard</vt:lpstr>
      <vt:lpstr>analysis</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يوسف مؤمن</cp:lastModifiedBy>
  <dcterms:created xsi:type="dcterms:W3CDTF">2026-10-08T10:32:23Z</dcterms:created>
  <dcterms:modified xsi:type="dcterms:W3CDTF">2026-10-29T11:36:24Z</dcterms:modified>
</cp:coreProperties>
</file>